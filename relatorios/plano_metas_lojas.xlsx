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âmetros" sheetId="1" state="visible" r:id="rId3"/>
    <sheet name="Metas por Loja" sheetId="2" state="visible" r:id="rId4"/>
    <sheet name="Resumo por Cluster" sheetId="3" state="visible" r:id="rId5"/>
    <sheet name="Premissas" sheetId="4" state="visible" r:id="rId6"/>
  </sheets>
  <definedNames>
    <definedName function="false" hidden="true" localSheetId="1" name="_xlnm._FilterDatabase" vbProcedure="false">'Metas por Loja'!$A$1:$O$1116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Regra definida no notebook 06: quem já é referência do grupo recebe só manutenção.</t>
        </r>
      </text>
    </comment>
    <comment ref="B5" authorId="0">
      <text>
        <r>
          <rPr>
            <sz val="10"/>
            <rFont val="Arial"/>
            <family val="2"/>
          </rPr>
          <t xml:space="preserve">Parcela do gap somada à meta das lojas abaixo da mediana.</t>
        </r>
      </text>
    </comment>
    <comment ref="B6" authorId="0">
      <text>
        <r>
          <rPr>
            <sz val="10"/>
            <rFont val="Arial"/>
            <family val="2"/>
          </rPr>
          <t xml:space="preserve">Abaixo desse gap a loja fica em "Acompanhamento".</t>
        </r>
      </text>
    </comment>
    <comment ref="B7" authorId="0">
      <text>
        <r>
          <rPr>
            <sz val="10"/>
            <rFont val="Arial"/>
            <family val="2"/>
          </rPr>
          <t xml:space="preserve">Compromisso assinado pela diretoria com o conselho (+5%).</t>
        </r>
      </text>
    </comment>
    <comment ref="B8" authorId="0">
      <text>
        <r>
          <rPr>
            <sz val="10"/>
            <rFont val="Arial"/>
            <family val="2"/>
          </rPr>
          <t xml:space="preserve">Nenhuma loja recebe meta acima deste valor; o fator de calibração compensa o que o teto corta.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Crescimento necessário para a loja chegar à mediana do cluster: (benchmark - venda) / venda. Zero para quem está na mediana ou acima.</t>
        </r>
      </text>
    </comment>
    <comment ref="G1" authorId="0">
      <text>
        <r>
          <rPr>
            <sz val="10"/>
            <rFont val="Arial"/>
            <family val="2"/>
          </rPr>
          <t xml:space="preserve">MIN(meta inicial x fator de calibração com teto, teto). A rede soma exatamente o compromisso ponderado pelo faturamento.</t>
        </r>
      </text>
    </comment>
    <comment ref="I1" authorId="0">
      <text>
        <r>
          <rPr>
            <sz val="10"/>
            <rFont val="Arial"/>
            <family val="2"/>
          </rPr>
          <t xml:space="preserve">Proporção de dias abertos da loja no histórico x 365 (notebook 02/03).</t>
        </r>
      </text>
    </comment>
    <comment ref="N1" authorId="0">
      <text>
        <r>
          <rPr>
            <sz val="10"/>
            <rFont val="Arial"/>
            <family val="2"/>
          </rPr>
          <t xml:space="preserve">Proporção das 100 subamostras de 80% (teste de estabilidade, notebook 05) em que a loja ficou no mesmo cluster.</t>
        </r>
      </text>
    </comment>
    <comment ref="O1" authorId="0">
      <text>
        <r>
          <rPr>
            <sz val="10"/>
            <rFont val="Arial"/>
            <family val="2"/>
          </rPr>
          <t xml:space="preserve">Subgrupo 7 dias: cluster 4 e abre aos domingos. Fronteira de cluster: permanência abaixo de 80%. Revisar a meta dessas lojas com o gestor.</t>
        </r>
      </text>
    </comment>
  </commentList>
</comments>
</file>

<file path=xl/sharedStrings.xml><?xml version="1.0" encoding="utf-8"?>
<sst xmlns="http://schemas.openxmlformats.org/spreadsheetml/2006/main" count="1200" uniqueCount="78">
  <si>
    <t xml:space="preserve">Plano de metas por loja — parâmetros</t>
  </si>
  <si>
    <t xml:space="preserve">Células em azul são entradas editáveis. As demais são calculadas.</t>
  </si>
  <si>
    <t xml:space="preserve">Meta de manutenção (loja na mediana do cluster ou acima)</t>
  </si>
  <si>
    <t xml:space="preserve">Captura do gap até a mediana do cluster</t>
  </si>
  <si>
    <t xml:space="preserve">Gap mínimo para prioridade "Ação"</t>
  </si>
  <si>
    <t xml:space="preserve">Compromisso de crescimento da rede</t>
  </si>
  <si>
    <t xml:space="preserve">Teto de meta por loja</t>
  </si>
  <si>
    <t xml:space="preserve">Calibração</t>
  </si>
  <si>
    <t xml:space="preserve">Crescimento ponderado com as metas iniciais</t>
  </si>
  <si>
    <t xml:space="preserve">Fator sem teto (iteração 0)</t>
  </si>
  <si>
    <t xml:space="preserve">Fator com teto (iteração 1)</t>
  </si>
  <si>
    <t xml:space="preserve">Fator com teto (iteração 2)</t>
  </si>
  <si>
    <t xml:space="preserve">Fator com teto (iteração 3)</t>
  </si>
  <si>
    <t xml:space="preserve">Fator com teto (iteração 4)</t>
  </si>
  <si>
    <t xml:space="preserve">Fator com teto (iteração 5)</t>
  </si>
  <si>
    <t xml:space="preserve">Fator com teto (iteração 6)</t>
  </si>
  <si>
    <t xml:space="preserve">Fator de calibração final</t>
  </si>
  <si>
    <t xml:space="preserve">Convergiu? (iterações 5 e 6 iguais)</t>
  </si>
  <si>
    <t xml:space="preserve">Meta de manutenção após calibração</t>
  </si>
  <si>
    <t xml:space="preserve">Lojas no teto</t>
  </si>
  <si>
    <t xml:space="preserve">Média simples das metas iniciais</t>
  </si>
  <si>
    <t xml:space="preserve">Média simples das metas finais</t>
  </si>
  <si>
    <t xml:space="preserve">Crescimento ponderado com as metas finais (checagem)</t>
  </si>
  <si>
    <t xml:space="preserve">Faturamento anual estimado da rede (R$)</t>
  </si>
  <si>
    <t xml:space="preserve">Ganho anual previsto com as metas finais (R$)</t>
  </si>
  <si>
    <t xml:space="preserve">Benchmark por cluster (mediana da venda média por dia)</t>
  </si>
  <si>
    <t xml:space="preserve">Cluster</t>
  </si>
  <si>
    <t xml:space="preserve">Nome do Cluster</t>
  </si>
  <si>
    <t xml:space="preserve">Benchmark do Grupo (R$/dia)</t>
  </si>
  <si>
    <t xml:space="preserve">Bairro competitivo de cesta pequena</t>
  </si>
  <si>
    <t xml:space="preserve">Destino de cesta grande</t>
  </si>
  <si>
    <t xml:space="preserve">Sazonal</t>
  </si>
  <si>
    <t xml:space="preserve">Dependente de promoção</t>
  </si>
  <si>
    <t xml:space="preserve">Alto fluxo, cesta pequena</t>
  </si>
  <si>
    <t xml:space="preserve">Loja</t>
  </si>
  <si>
    <t xml:space="preserve">Venda Média por Dia (R$)</t>
  </si>
  <si>
    <t xml:space="preserve">Gap Percentual</t>
  </si>
  <si>
    <t xml:space="preserve">Meta Percentual</t>
  </si>
  <si>
    <t xml:space="preserve">Prioridade</t>
  </si>
  <si>
    <t xml:space="preserve">Dias de Operação por Ano</t>
  </si>
  <si>
    <t xml:space="preserve">Faturamento Anual (R$)</t>
  </si>
  <si>
    <t xml:space="preserve">Meta Inicial (antes da calibração)</t>
  </si>
  <si>
    <t xml:space="preserve">Meta de Venda por Dia (R$)</t>
  </si>
  <si>
    <t xml:space="preserve">Abre aos Domingos</t>
  </si>
  <si>
    <t xml:space="preserve">Permanência no Cluster</t>
  </si>
  <si>
    <t xml:space="preserve">Observação</t>
  </si>
  <si>
    <t xml:space="preserve">Resumo do plano por cluster</t>
  </si>
  <si>
    <t xml:space="preserve">Lojas</t>
  </si>
  <si>
    <t xml:space="preserve">Lojas em Ação</t>
  </si>
  <si>
    <t xml:space="preserve">Benchmark (R$/dia)</t>
  </si>
  <si>
    <t xml:space="preserve">Meta Média</t>
  </si>
  <si>
    <t xml:space="preserve">Meta Máxima</t>
  </si>
  <si>
    <t xml:space="preserve">Crescimento Ponderado</t>
  </si>
  <si>
    <t xml:space="preserve">Rede</t>
  </si>
  <si>
    <t xml:space="preserve">—</t>
  </si>
  <si>
    <t xml:space="preserve">Distribuição das metas finais</t>
  </si>
  <si>
    <t xml:space="preserve">Faixa</t>
  </si>
  <si>
    <t xml:space="preserve">De</t>
  </si>
  <si>
    <t xml:space="preserve">Até</t>
  </si>
  <si>
    <t xml:space="preserve">% das lojas</t>
  </si>
  <si>
    <t xml:space="preserve">Manutenção</t>
  </si>
  <si>
    <t xml:space="preserve">Manutenção a 5%</t>
  </si>
  <si>
    <t xml:space="preserve">5% a 10%</t>
  </si>
  <si>
    <t xml:space="preserve">10% a 15%</t>
  </si>
  <si>
    <t xml:space="preserve">15% a 20%</t>
  </si>
  <si>
    <t xml:space="preserve">No teto</t>
  </si>
  <si>
    <t xml:space="preserve">Total</t>
  </si>
  <si>
    <t xml:space="preserve">Premissas do plano de metas</t>
  </si>
  <si>
    <t xml:space="preserve">1. Referência de desempenho: venda média por dia de operação (dias abertos com faturamento &gt; 0), histórico de 01/2013 a 07/2015.</t>
  </si>
  <si>
    <t xml:space="preserve">2. Benchmark do grupo: mediana da venda média por dia das lojas do mesmo cluster (K-Means, k = 5).</t>
  </si>
  <si>
    <t xml:space="preserve">3. Gap percentual: crescimento que a loja precisa para chegar ao benchmark = (benchmark - venda) / venda; zero para quem está na mediana ou acima.</t>
  </si>
  <si>
    <t xml:space="preserve">4. Meta inicial: manutenção para quem está na mediana ou acima; manutenção + captura x gap para quem está abaixo.</t>
  </si>
  <si>
    <t xml:space="preserve">5. Calibração: todas as metas multiplicadas pelo mesmo fator, com teto por loja (padrão 20%). O fator é recalculado por iteração para compensar o que o teto corta, e a rede cresce exatamente o compromisso ponderado pelo faturamento anual.</t>
  </si>
  <si>
    <t xml:space="preserve">6. Faturamento anual da loja: venda média por dia x dias de operação por ano (proporção de dias abertos no histórico x 365).</t>
  </si>
  <si>
    <t xml:space="preserve">7. Prioridade: "Ação" para lojas com gap igual ou acima do limiar; "Acompanhamento" para as demais.</t>
  </si>
  <si>
    <t xml:space="preserve">8. As metas são de faturamento, não de margem; não consideram custo de promoção, canibalização ou mudança de preço.</t>
  </si>
  <si>
    <t xml:space="preserve">9. Observação: "Subgrupo 7 dias" marca as lojas do cluster 4 que abrem aos domingos (perfil de conveniência, ticket bem abaixo do resto do cluster); "Fronteira de cluster" marca as lojas que ficaram no próprio cluster em menos de 80% das subamostras do teste de estabilidade. A meta dessas lojas deve ser revisada com o gestor.</t>
  </si>
  <si>
    <t xml:space="preserve">10. Para mudar a regra, altere as células em azul da aba Parâmetros; toda a planilha é recalculada.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</si>
</sst>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0.0000"/>
    <numFmt numFmtId="167" formatCode="@"/>
    <numFmt numFmtId="168" formatCode="0"/>
    <numFmt numFmtId="169" formatCode="&quot;R$ &quot;#,##0;&quot;(R$ &quot;#,##0\);\-"/>
    <numFmt numFmtId="170" formatCode="#,##0.0"/>
    <numFmt numFmtId="171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6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0.02</v>
      </c>
    </row>
    <row r="5" customFormat="false" ht="15" hidden="false" customHeight="false" outlineLevel="0" collapsed="false">
      <c r="A5" s="3" t="s">
        <v>3</v>
      </c>
      <c r="B5" s="4" t="n">
        <v>0.25</v>
      </c>
    </row>
    <row r="6" customFormat="false" ht="15" hidden="false" customHeight="false" outlineLevel="0" collapsed="false">
      <c r="A6" s="3" t="s">
        <v>4</v>
      </c>
      <c r="B6" s="4" t="n">
        <v>0.1</v>
      </c>
    </row>
    <row r="7" customFormat="false" ht="15" hidden="false" customHeight="false" outlineLevel="0" collapsed="false">
      <c r="A7" s="3" t="s">
        <v>5</v>
      </c>
      <c r="B7" s="5" t="n">
        <v>0.05</v>
      </c>
    </row>
    <row r="8" customFormat="false" ht="15" hidden="false" customHeight="false" outlineLevel="0" collapsed="false">
      <c r="A8" s="3" t="s">
        <v>6</v>
      </c>
      <c r="B8" s="5" t="n">
        <v>0.2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3" t="s">
        <v>8</v>
      </c>
      <c r="B11" s="7" t="n">
        <f aca="false">SUMPRODUCT('Metas por Loja'!$J$2:$J$1116,'Metas por Loja'!$K$2:$K$1116)/SUM('Metas por Loja'!$J$2:$J$1116)</f>
        <v>0.0419033155731318</v>
      </c>
    </row>
    <row r="12" customFormat="false" ht="15" hidden="false" customHeight="false" outlineLevel="0" collapsed="false">
      <c r="A12" s="3" t="s">
        <v>9</v>
      </c>
      <c r="B12" s="8" t="n">
        <f aca="false">B7/B11</f>
        <v>1.19322300195405</v>
      </c>
    </row>
    <row r="13" customFormat="false" ht="15" hidden="false" customHeight="false" outlineLevel="0" collapsed="false">
      <c r="A13" s="3" t="s">
        <v>10</v>
      </c>
      <c r="B13" s="8" t="n">
        <f aca="false">($B$7*SUM('Metas por Loja'!$J$2:$J$1116)-$B$8*SUMPRODUCT('Metas por Loja'!$J$2:$J$1116,--('Metas por Loja'!$K$2:$K$1116*B12&gt;$B$8)))/SUMPRODUCT('Metas por Loja'!$J$2:$J$1116,'Metas por Loja'!$K$2:$K$1116,--('Metas por Loja'!$K$2:$K$1116*B12&lt;=$B$8))</f>
        <v>1.22016783446958</v>
      </c>
    </row>
    <row r="14" customFormat="false" ht="15" hidden="false" customHeight="false" outlineLevel="0" collapsed="false">
      <c r="A14" s="3" t="s">
        <v>11</v>
      </c>
      <c r="B14" s="8" t="n">
        <f aca="false">($B$7*SUM('Metas por Loja'!$J$2:$J$1116)-$B$8*SUMPRODUCT('Metas por Loja'!$J$2:$J$1116,--('Metas por Loja'!$K$2:$K$1116*B13&gt;$B$8)))/SUMPRODUCT('Metas por Loja'!$J$2:$J$1116,'Metas por Loja'!$K$2:$K$1116,--('Metas por Loja'!$K$2:$K$1116*B13&lt;=$B$8))</f>
        <v>1.22019169924637</v>
      </c>
    </row>
    <row r="15" customFormat="false" ht="15" hidden="false" customHeight="false" outlineLevel="0" collapsed="false">
      <c r="A15" s="3" t="s">
        <v>12</v>
      </c>
      <c r="B15" s="8" t="n">
        <f aca="false">($B$7*SUM('Metas por Loja'!$J$2:$J$1116)-$B$8*SUMPRODUCT('Metas por Loja'!$J$2:$J$1116,--('Metas por Loja'!$K$2:$K$1116*B14&gt;$B$8)))/SUMPRODUCT('Metas por Loja'!$J$2:$J$1116,'Metas por Loja'!$K$2:$K$1116,--('Metas por Loja'!$K$2:$K$1116*B14&lt;=$B$8))</f>
        <v>1.22019169924637</v>
      </c>
    </row>
    <row r="16" customFormat="false" ht="15" hidden="false" customHeight="false" outlineLevel="0" collapsed="false">
      <c r="A16" s="3" t="s">
        <v>13</v>
      </c>
      <c r="B16" s="8" t="n">
        <f aca="false">($B$7*SUM('Metas por Loja'!$J$2:$J$1116)-$B$8*SUMPRODUCT('Metas por Loja'!$J$2:$J$1116,--('Metas por Loja'!$K$2:$K$1116*B15&gt;$B$8)))/SUMPRODUCT('Metas por Loja'!$J$2:$J$1116,'Metas por Loja'!$K$2:$K$1116,--('Metas por Loja'!$K$2:$K$1116*B15&lt;=$B$8))</f>
        <v>1.22019169924637</v>
      </c>
    </row>
    <row r="17" customFormat="false" ht="15" hidden="false" customHeight="false" outlineLevel="0" collapsed="false">
      <c r="A17" s="3" t="s">
        <v>14</v>
      </c>
      <c r="B17" s="8" t="n">
        <f aca="false">($B$7*SUM('Metas por Loja'!$J$2:$J$1116)-$B$8*SUMPRODUCT('Metas por Loja'!$J$2:$J$1116,--('Metas por Loja'!$K$2:$K$1116*B16&gt;$B$8)))/SUMPRODUCT('Metas por Loja'!$J$2:$J$1116,'Metas por Loja'!$K$2:$K$1116,--('Metas por Loja'!$K$2:$K$1116*B16&lt;=$B$8))</f>
        <v>1.22019169924637</v>
      </c>
    </row>
    <row r="18" customFormat="false" ht="15" hidden="false" customHeight="false" outlineLevel="0" collapsed="false">
      <c r="A18" s="6" t="s">
        <v>15</v>
      </c>
      <c r="B18" s="8" t="n">
        <f aca="false">($B$7*SUM('Metas por Loja'!$J$2:$J$1116)-$B$8*SUMPRODUCT('Metas por Loja'!$J$2:$J$1116,--('Metas por Loja'!$K$2:$K$1116*B17&gt;$B$8)))/SUMPRODUCT('Metas por Loja'!$J$2:$J$1116,'Metas por Loja'!$K$2:$K$1116,--('Metas por Loja'!$K$2:$K$1116*B17&lt;=$B$8))</f>
        <v>1.22019169924637</v>
      </c>
    </row>
    <row r="19" customFormat="false" ht="15" hidden="false" customHeight="false" outlineLevel="0" collapsed="false">
      <c r="A19" s="3" t="s">
        <v>16</v>
      </c>
      <c r="B19" s="8" t="n">
        <f aca="false">B18</f>
        <v>1.22019169924637</v>
      </c>
    </row>
    <row r="20" customFormat="false" ht="15" hidden="false" customHeight="false" outlineLevel="0" collapsed="false">
      <c r="A20" s="3" t="s">
        <v>17</v>
      </c>
      <c r="B20" s="9" t="str">
        <f aca="false">IF(ABS(B18-B17)&lt;0.0000001,"Sim","Não")</f>
        <v>Sim</v>
      </c>
    </row>
    <row r="21" customFormat="false" ht="15" hidden="false" customHeight="false" outlineLevel="0" collapsed="false">
      <c r="A21" s="3" t="s">
        <v>18</v>
      </c>
      <c r="B21" s="7" t="n">
        <f aca="false">B4*B19</f>
        <v>0.0244038339849275</v>
      </c>
    </row>
    <row r="22" customFormat="false" ht="15" hidden="false" customHeight="false" outlineLevel="0" collapsed="false">
      <c r="A22" s="3" t="s">
        <v>19</v>
      </c>
      <c r="B22" s="10" t="n">
        <f aca="false">SUMPRODUCT(--('Metas por Loja'!$K$2:$K$1116*B19&gt;B8))</f>
        <v>47</v>
      </c>
    </row>
    <row r="23" customFormat="false" ht="15" hidden="false" customHeight="false" outlineLevel="0" collapsed="false">
      <c r="A23" s="3" t="s">
        <v>20</v>
      </c>
      <c r="B23" s="7" t="n">
        <f aca="false">AVERAGE('Metas por Loja'!$K$2:$K$1116)</f>
        <v>0.0514598265586551</v>
      </c>
    </row>
    <row r="24" customFormat="false" ht="15" hidden="false" customHeight="false" outlineLevel="0" collapsed="false">
      <c r="A24" s="3" t="s">
        <v>21</v>
      </c>
      <c r="B24" s="7" t="n">
        <f aca="false">AVERAGE('Metas por Loja'!$G$2:$G$1116)</f>
        <v>0.0605430408290104</v>
      </c>
    </row>
    <row r="25" customFormat="false" ht="15" hidden="false" customHeight="false" outlineLevel="0" collapsed="false">
      <c r="A25" s="3" t="s">
        <v>22</v>
      </c>
      <c r="B25" s="7" t="n">
        <f aca="false">SUMPRODUCT('Metas por Loja'!$J$2:$J$1116,'Metas por Loja'!$G$2:$G$1116)/SUM('Metas por Loja'!$J$2:$J$1116)</f>
        <v>0.05</v>
      </c>
    </row>
    <row r="26" customFormat="false" ht="15" hidden="false" customHeight="false" outlineLevel="0" collapsed="false">
      <c r="A26" s="3" t="s">
        <v>23</v>
      </c>
      <c r="B26" s="11" t="n">
        <f aca="false">SUM('Metas por Loja'!$J$2:$J$1116)</f>
        <v>2345669250.27186</v>
      </c>
    </row>
    <row r="27" customFormat="false" ht="15" hidden="false" customHeight="false" outlineLevel="0" collapsed="false">
      <c r="A27" s="3" t="s">
        <v>24</v>
      </c>
      <c r="B27" s="11" t="n">
        <f aca="false">B25*B26</f>
        <v>117283462.513593</v>
      </c>
    </row>
    <row r="31" customFormat="false" ht="15" hidden="false" customHeight="false" outlineLevel="0" collapsed="false">
      <c r="A31" s="0" t="s">
        <v>25</v>
      </c>
    </row>
    <row r="32" customFormat="false" ht="15" hidden="false" customHeight="false" outlineLevel="0" collapsed="false">
      <c r="A32" s="12" t="s">
        <v>26</v>
      </c>
      <c r="B32" s="12" t="s">
        <v>27</v>
      </c>
      <c r="C32" s="12" t="s">
        <v>28</v>
      </c>
    </row>
    <row r="33" customFormat="false" ht="15" hidden="false" customHeight="false" outlineLevel="0" collapsed="false">
      <c r="A33" s="3" t="n">
        <v>0</v>
      </c>
      <c r="B33" s="3" t="s">
        <v>29</v>
      </c>
      <c r="C33" s="11" t="n">
        <f aca="false" t="array" ref="C33:C33">MEDIAN(IF('Metas por Loja'!$B$2:$B$1116=A33,'Metas por Loja'!$D$2:$D$1116))</f>
        <v>5476.37033462034</v>
      </c>
    </row>
    <row r="34" customFormat="false" ht="15" hidden="false" customHeight="false" outlineLevel="0" collapsed="false">
      <c r="A34" s="3" t="n">
        <v>1</v>
      </c>
      <c r="B34" s="3" t="s">
        <v>30</v>
      </c>
      <c r="C34" s="11" t="n">
        <f aca="false" t="array" ref="C34:C34">MEDIAN(IF('Metas por Loja'!$B$2:$B$1116=A34,'Metas por Loja'!$D$2:$D$1116))</f>
        <v>6959.92435130262</v>
      </c>
    </row>
    <row r="35" customFormat="false" ht="15" hidden="false" customHeight="false" outlineLevel="0" collapsed="false">
      <c r="A35" s="3" t="n">
        <v>2</v>
      </c>
      <c r="B35" s="3" t="s">
        <v>31</v>
      </c>
      <c r="C35" s="11" t="n">
        <f aca="false" t="array" ref="C35:C35">MEDIAN(IF('Metas por Loja'!$B$2:$B$1116=A35,'Metas por Loja'!$D$2:$D$1116))</f>
        <v>6324.80102695764</v>
      </c>
    </row>
    <row r="36" customFormat="false" ht="15" hidden="false" customHeight="false" outlineLevel="0" collapsed="false">
      <c r="A36" s="3" t="n">
        <v>3</v>
      </c>
      <c r="B36" s="3" t="s">
        <v>32</v>
      </c>
      <c r="C36" s="11" t="n">
        <f aca="false" t="array" ref="C36:C36">MEDIAN(IF('Metas por Loja'!$B$2:$B$1116=A36,'Metas por Loja'!$D$2:$D$1116))</f>
        <v>5909.24487179487</v>
      </c>
    </row>
    <row r="37" customFormat="false" ht="15" hidden="false" customHeight="false" outlineLevel="0" collapsed="false">
      <c r="A37" s="3" t="n">
        <v>4</v>
      </c>
      <c r="B37" s="3" t="s">
        <v>33</v>
      </c>
      <c r="C37" s="11" t="n">
        <f aca="false" t="array" ref="C37:C37">MEDIAN(IF('Metas por Loja'!$B$2:$B$1116=A37,'Metas por Loja'!$D$2:$D$1116))</f>
        <v>8837.10512820513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2" min="11" style="0" width="1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34"/>
  </cols>
  <sheetData>
    <row r="1" customFormat="false" ht="42" hidden="false" customHeight="true" outlineLevel="0" collapsed="false">
      <c r="A1" s="13" t="s">
        <v>34</v>
      </c>
      <c r="B1" s="13" t="s">
        <v>26</v>
      </c>
      <c r="C1" s="13" t="s">
        <v>27</v>
      </c>
      <c r="D1" s="13" t="s">
        <v>35</v>
      </c>
      <c r="E1" s="13" t="s">
        <v>28</v>
      </c>
      <c r="F1" s="13" t="s">
        <v>36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41</v>
      </c>
      <c r="L1" s="13" t="s">
        <v>42</v>
      </c>
      <c r="M1" s="13" t="s">
        <v>43</v>
      </c>
      <c r="N1" s="13" t="s">
        <v>44</v>
      </c>
      <c r="O1" s="13" t="s">
        <v>45</v>
      </c>
    </row>
    <row r="2" customFormat="false" ht="15" hidden="false" customHeight="false" outlineLevel="0" collapsed="false">
      <c r="A2" s="14" t="n">
        <v>1</v>
      </c>
      <c r="B2" s="14" t="n">
        <v>0</v>
      </c>
      <c r="C2" s="14" t="s">
        <v>29</v>
      </c>
      <c r="D2" s="15" t="n">
        <v>4759.09603072983</v>
      </c>
      <c r="E2" s="16" t="n">
        <f aca="false">INDEX(Parâmetros!$C$33:$C$37,MATCH(B2,Parâmetros!$A$33:$A$37,0))</f>
        <v>5476.37033462034</v>
      </c>
      <c r="F2" s="7" t="n">
        <f aca="false">MAX(0,(E2-D2)/D2)</f>
        <v>0.150716501465616</v>
      </c>
      <c r="G2" s="7" t="n">
        <f aca="false">MIN(K2*Parâmetros!$B$19,Parâmetros!$B$8)</f>
        <v>0.0703795899918771</v>
      </c>
      <c r="H2" s="3" t="str">
        <f aca="false">IF(F2&gt;=Parâmetros!$B$6,"Ação","Acompanhamento")</f>
        <v>Ação</v>
      </c>
      <c r="I2" s="17" t="n">
        <v>302.616772823779</v>
      </c>
      <c r="J2" s="11" t="n">
        <f aca="false">D2*I2</f>
        <v>1440182.28237792</v>
      </c>
      <c r="K2" s="7" t="n">
        <f aca="false">Parâmetros!$B$4+Parâmetros!$B$5*F2</f>
        <v>0.057679125366404</v>
      </c>
      <c r="L2" s="11" t="n">
        <f aca="false">D2*(1+G2)</f>
        <v>5094.03925810457</v>
      </c>
      <c r="M2" s="14" t="n">
        <v>0</v>
      </c>
      <c r="N2" s="4" t="n">
        <v>0.776315789473684</v>
      </c>
      <c r="O2" s="3" t="str">
        <f aca="false">IF(AND(B2=4,M2=1),IF(N2&lt;0.8,"Subgrupo 7 dias; fronteira de cluster","Subgrupo 7 dias"),IF(N2&lt;0.8,"Fronteira de cluster",""))</f>
        <v>Fronteira de cluster</v>
      </c>
    </row>
    <row r="3" customFormat="false" ht="15" hidden="false" customHeight="false" outlineLevel="0" collapsed="false">
      <c r="A3" s="14" t="n">
        <v>2</v>
      </c>
      <c r="B3" s="14" t="n">
        <v>0</v>
      </c>
      <c r="C3" s="14" t="s">
        <v>29</v>
      </c>
      <c r="D3" s="15" t="n">
        <v>4953.90051020408</v>
      </c>
      <c r="E3" s="16" t="n">
        <f aca="false">INDEX(Parâmetros!$C$33:$C$37,MATCH(B3,Parâmetros!$A$33:$A$37,0))</f>
        <v>5476.37033462034</v>
      </c>
      <c r="F3" s="7" t="n">
        <f aca="false">MAX(0,(E3-D3)/D3)</f>
        <v>0.105466353904376</v>
      </c>
      <c r="G3" s="7" t="n">
        <f aca="false">MIN(K3*Parâmetros!$B$19,Parâmetros!$B$8)</f>
        <v>0.0565761263809024</v>
      </c>
      <c r="H3" s="3" t="str">
        <f aca="false">IF(F3&gt;=Parâmetros!$B$6,"Ação","Acompanhamento")</f>
        <v>Ação</v>
      </c>
      <c r="I3" s="17" t="n">
        <v>303.779193205945</v>
      </c>
      <c r="J3" s="11" t="n">
        <f aca="false">D3*I3</f>
        <v>1504891.90021231</v>
      </c>
      <c r="K3" s="7" t="n">
        <f aca="false">Parâmetros!$B$4+Parâmetros!$B$5*F3</f>
        <v>0.046366588476094</v>
      </c>
      <c r="L3" s="11" t="n">
        <f aca="false">D3*(1+G3)</f>
        <v>5234.17301154781</v>
      </c>
      <c r="M3" s="14" t="n">
        <v>0</v>
      </c>
      <c r="N3" s="4" t="n">
        <v>0.986842105263158</v>
      </c>
      <c r="O3" s="3" t="str">
        <f aca="false">IF(AND(B3=4,M3=1),IF(N3&lt;0.8,"Subgrupo 7 dias; fronteira de cluster","Subgrupo 7 dias"),IF(N3&lt;0.8,"Fronteira de cluster",""))</f>
        <v/>
      </c>
    </row>
    <row r="4" customFormat="false" ht="15" hidden="false" customHeight="false" outlineLevel="0" collapsed="false">
      <c r="A4" s="14" t="n">
        <v>3</v>
      </c>
      <c r="B4" s="14" t="n">
        <v>3</v>
      </c>
      <c r="C4" s="14" t="s">
        <v>32</v>
      </c>
      <c r="D4" s="15" t="n">
        <v>6942.56867779204</v>
      </c>
      <c r="E4" s="16" t="n">
        <f aca="false">INDEX(Parâmetros!$C$33:$C$37,MATCH(B4,Parâmetros!$A$33:$A$37,0))</f>
        <v>5909.24487179487</v>
      </c>
      <c r="F4" s="7" t="n">
        <f aca="false">MAX(0,(E4-D4)/D4)</f>
        <v>0</v>
      </c>
      <c r="G4" s="7" t="n">
        <f aca="false">MIN(K4*Parâmetros!$B$19,Parâmetros!$B$8)</f>
        <v>0.0244038339849275</v>
      </c>
      <c r="H4" s="3" t="str">
        <f aca="false">IF(F4&gt;=Parâmetros!$B$6,"Ação","Acompanhamento")</f>
        <v>Acompanhamento</v>
      </c>
      <c r="I4" s="17" t="n">
        <v>301.841825902336</v>
      </c>
      <c r="J4" s="11" t="n">
        <f aca="false">D4*I4</f>
        <v>2095557.60615711</v>
      </c>
      <c r="K4" s="7" t="n">
        <f aca="false">Parâmetros!$B$4+Parâmetros!$B$5*F4</f>
        <v>0.02</v>
      </c>
      <c r="L4" s="11" t="n">
        <f aca="false">D4*(1+G4)</f>
        <v>7111.99397123384</v>
      </c>
      <c r="M4" s="14" t="n">
        <v>0</v>
      </c>
      <c r="N4" s="4" t="n">
        <v>1</v>
      </c>
      <c r="O4" s="3" t="str">
        <f aca="false">IF(AND(B4=4,M4=1),IF(N4&lt;0.8,"Subgrupo 7 dias; fronteira de cluster","Subgrupo 7 dias"),IF(N4&lt;0.8,"Fronteira de cluster",""))</f>
        <v/>
      </c>
    </row>
    <row r="5" customFormat="false" ht="15" hidden="false" customHeight="false" outlineLevel="0" collapsed="false">
      <c r="A5" s="14" t="n">
        <v>4</v>
      </c>
      <c r="B5" s="14" t="n">
        <v>4</v>
      </c>
      <c r="C5" s="14" t="s">
        <v>33</v>
      </c>
      <c r="D5" s="15" t="n">
        <v>9638.40178571429</v>
      </c>
      <c r="E5" s="16" t="n">
        <f aca="false">INDEX(Parâmetros!$C$33:$C$37,MATCH(B5,Parâmetros!$A$33:$A$37,0))</f>
        <v>8837.10512820513</v>
      </c>
      <c r="F5" s="7" t="n">
        <f aca="false">MAX(0,(E5-D5)/D5)</f>
        <v>0</v>
      </c>
      <c r="G5" s="7" t="n">
        <f aca="false">MIN(K5*Parâmetros!$B$19,Parâmetros!$B$8)</f>
        <v>0.0244038339849275</v>
      </c>
      <c r="H5" s="3" t="str">
        <f aca="false">IF(F5&gt;=Parâmetros!$B$6,"Ação","Acompanhamento")</f>
        <v>Acompanhamento</v>
      </c>
      <c r="I5" s="17" t="n">
        <v>303.779193205945</v>
      </c>
      <c r="J5" s="11" t="n">
        <f aca="false">D5*I5</f>
        <v>2927945.91825902</v>
      </c>
      <c r="K5" s="7" t="n">
        <f aca="false">Parâmetros!$B$4+Parâmetros!$B$5*F5</f>
        <v>0.02</v>
      </c>
      <c r="L5" s="11" t="n">
        <f aca="false">D5*(1+G5)</f>
        <v>9873.61574277289</v>
      </c>
      <c r="M5" s="14" t="n">
        <v>0</v>
      </c>
      <c r="N5" s="4" t="n">
        <v>1</v>
      </c>
      <c r="O5" s="3" t="str">
        <f aca="false">IF(AND(B5=4,M5=1),IF(N5&lt;0.8,"Subgrupo 7 dias; fronteira de cluster","Subgrupo 7 dias"),IF(N5&lt;0.8,"Fronteira de cluster",""))</f>
        <v/>
      </c>
    </row>
    <row r="6" customFormat="false" ht="15" hidden="false" customHeight="false" outlineLevel="0" collapsed="false">
      <c r="A6" s="14" t="n">
        <v>5</v>
      </c>
      <c r="B6" s="14" t="n">
        <v>3</v>
      </c>
      <c r="C6" s="14" t="s">
        <v>32</v>
      </c>
      <c r="D6" s="15" t="n">
        <v>4676.27471116817</v>
      </c>
      <c r="E6" s="16" t="n">
        <f aca="false">INDEX(Parâmetros!$C$33:$C$37,MATCH(B6,Parâmetros!$A$33:$A$37,0))</f>
        <v>5909.24487179487</v>
      </c>
      <c r="F6" s="7" t="n">
        <f aca="false">MAX(0,(E6-D6)/D6)</f>
        <v>0.263665040396804</v>
      </c>
      <c r="G6" s="7" t="n">
        <f aca="false">MIN(K6*Parâmetros!$B$19,Parâmetros!$B$8)</f>
        <v>0.104834307403337</v>
      </c>
      <c r="H6" s="3" t="str">
        <f aca="false">IF(F6&gt;=Parâmetros!$B$6,"Ação","Acompanhamento")</f>
        <v>Ação</v>
      </c>
      <c r="I6" s="17" t="n">
        <v>301.841825902336</v>
      </c>
      <c r="J6" s="11" t="n">
        <f aca="false">D6*I6</f>
        <v>1411495.29723992</v>
      </c>
      <c r="K6" s="7" t="n">
        <f aca="false">Parâmetros!$B$4+Parâmetros!$B$5*F6</f>
        <v>0.085916260099201</v>
      </c>
      <c r="L6" s="11" t="n">
        <f aca="false">D6*(1+G6)</f>
        <v>5166.50873174122</v>
      </c>
      <c r="M6" s="14" t="n">
        <v>0</v>
      </c>
      <c r="N6" s="4" t="n">
        <v>1</v>
      </c>
      <c r="O6" s="3" t="str">
        <f aca="false">IF(AND(B6=4,M6=1),IF(N6&lt;0.8,"Subgrupo 7 dias; fronteira de cluster","Subgrupo 7 dias"),IF(N6&lt;0.8,"Fronteira de cluster",""))</f>
        <v/>
      </c>
    </row>
    <row r="7" customFormat="false" ht="15" hidden="false" customHeight="false" outlineLevel="0" collapsed="false">
      <c r="A7" s="14" t="n">
        <v>6</v>
      </c>
      <c r="B7" s="14" t="n">
        <v>0</v>
      </c>
      <c r="C7" s="14" t="s">
        <v>29</v>
      </c>
      <c r="D7" s="15" t="n">
        <v>5509.94615384615</v>
      </c>
      <c r="E7" s="16" t="n">
        <f aca="false">INDEX(Parâmetros!$C$33:$C$37,MATCH(B7,Parâmetros!$A$33:$A$37,0))</f>
        <v>5476.37033462034</v>
      </c>
      <c r="F7" s="7" t="n">
        <f aca="false">MAX(0,(E7-D7)/D7)</f>
        <v>0</v>
      </c>
      <c r="G7" s="7" t="n">
        <f aca="false">MIN(K7*Parâmetros!$B$19,Parâmetros!$B$8)</f>
        <v>0.0244038339849275</v>
      </c>
      <c r="H7" s="3" t="str">
        <f aca="false">IF(F7&gt;=Parâmetros!$B$6,"Ação","Acompanhamento")</f>
        <v>Acompanhamento</v>
      </c>
      <c r="I7" s="17" t="n">
        <v>302.229299363057</v>
      </c>
      <c r="J7" s="11" t="n">
        <f aca="false">D7*I7</f>
        <v>1665267.1656051</v>
      </c>
      <c r="K7" s="7" t="n">
        <f aca="false">Parâmetros!$B$4+Parâmetros!$B$5*F7</f>
        <v>0.02</v>
      </c>
      <c r="L7" s="11" t="n">
        <f aca="false">D7*(1+G7)</f>
        <v>5644.40996505051</v>
      </c>
      <c r="M7" s="14" t="n">
        <v>0</v>
      </c>
      <c r="N7" s="4" t="n">
        <v>1</v>
      </c>
      <c r="O7" s="3" t="str">
        <f aca="false">IF(AND(B7=4,M7=1),IF(N7&lt;0.8,"Subgrupo 7 dias; fronteira de cluster","Subgrupo 7 dias"),IF(N7&lt;0.8,"Fronteira de cluster",""))</f>
        <v/>
      </c>
    </row>
    <row r="8" customFormat="false" ht="15" hidden="false" customHeight="false" outlineLevel="0" collapsed="false">
      <c r="A8" s="14" t="n">
        <v>7</v>
      </c>
      <c r="B8" s="14" t="n">
        <v>1</v>
      </c>
      <c r="C8" s="14" t="s">
        <v>30</v>
      </c>
      <c r="D8" s="15" t="n">
        <v>8817.05089058524</v>
      </c>
      <c r="E8" s="16" t="n">
        <f aca="false">INDEX(Parâmetros!$C$33:$C$37,MATCH(B8,Parâmetros!$A$33:$A$37,0))</f>
        <v>6959.92435130262</v>
      </c>
      <c r="F8" s="7" t="n">
        <f aca="false">MAX(0,(E8-D8)/D8)</f>
        <v>0</v>
      </c>
      <c r="G8" s="7" t="n">
        <f aca="false">MIN(K8*Parâmetros!$B$19,Parâmetros!$B$8)</f>
        <v>0.0244038339849275</v>
      </c>
      <c r="H8" s="3" t="str">
        <f aca="false">IF(F8&gt;=Parâmetros!$B$6,"Ação","Acompanhamento")</f>
        <v>Acompanhamento</v>
      </c>
      <c r="I8" s="17" t="n">
        <v>304.554140127389</v>
      </c>
      <c r="J8" s="11" t="n">
        <f aca="false">D8*I8</f>
        <v>2685269.35244161</v>
      </c>
      <c r="K8" s="7" t="n">
        <f aca="false">Parâmetros!$B$4+Parâmetros!$B$5*F8</f>
        <v>0.02</v>
      </c>
      <c r="L8" s="11" t="n">
        <f aca="false">D8*(1+G8)</f>
        <v>9032.22073675574</v>
      </c>
      <c r="M8" s="14" t="n">
        <v>0</v>
      </c>
      <c r="N8" s="4" t="n">
        <v>1</v>
      </c>
      <c r="O8" s="3" t="str">
        <f aca="false">IF(AND(B8=4,M8=1),IF(N8&lt;0.8,"Subgrupo 7 dias; fronteira de cluster","Subgrupo 7 dias"),IF(N8&lt;0.8,"Fronteira de cluster",""))</f>
        <v/>
      </c>
    </row>
    <row r="9" customFormat="false" ht="15" hidden="false" customHeight="false" outlineLevel="0" collapsed="false">
      <c r="A9" s="14" t="n">
        <v>8</v>
      </c>
      <c r="B9" s="14" t="n">
        <v>3</v>
      </c>
      <c r="C9" s="14" t="s">
        <v>32</v>
      </c>
      <c r="D9" s="15" t="n">
        <v>5539.35841836735</v>
      </c>
      <c r="E9" s="16" t="n">
        <f aca="false">INDEX(Parâmetros!$C$33:$C$37,MATCH(B9,Parâmetros!$A$33:$A$37,0))</f>
        <v>5909.24487179487</v>
      </c>
      <c r="F9" s="7" t="n">
        <f aca="false">MAX(0,(E9-D9)/D9)</f>
        <v>0.0667742408942268</v>
      </c>
      <c r="G9" s="7" t="n">
        <f aca="false">MIN(K9*Parâmetros!$B$19,Parâmetros!$B$8)</f>
        <v>0.0447731776005808</v>
      </c>
      <c r="H9" s="3" t="str">
        <f aca="false">IF(F9&gt;=Parâmetros!$B$6,"Ação","Acompanhamento")</f>
        <v>Acompanhamento</v>
      </c>
      <c r="I9" s="17" t="n">
        <v>303.779193205945</v>
      </c>
      <c r="J9" s="11" t="n">
        <f aca="false">D9*I9</f>
        <v>1682741.83121019</v>
      </c>
      <c r="K9" s="7" t="n">
        <f aca="false">Parâmetros!$B$4+Parâmetros!$B$5*F9</f>
        <v>0.0366935602235567</v>
      </c>
      <c r="L9" s="11" t="n">
        <f aca="false">D9*(1+G9)</f>
        <v>5787.37309662618</v>
      </c>
      <c r="M9" s="14" t="n">
        <v>0</v>
      </c>
      <c r="N9" s="4" t="n">
        <v>1</v>
      </c>
      <c r="O9" s="3" t="str">
        <f aca="false">IF(AND(B9=4,M9=1),IF(N9&lt;0.8,"Subgrupo 7 dias; fronteira de cluster","Subgrupo 7 dias"),IF(N9&lt;0.8,"Fronteira de cluster",""))</f>
        <v/>
      </c>
    </row>
    <row r="10" customFormat="false" ht="15" hidden="false" customHeight="false" outlineLevel="0" collapsed="false">
      <c r="A10" s="14" t="n">
        <v>9</v>
      </c>
      <c r="B10" s="14" t="n">
        <v>1</v>
      </c>
      <c r="C10" s="14" t="s">
        <v>30</v>
      </c>
      <c r="D10" s="15" t="n">
        <v>6562.33761232349</v>
      </c>
      <c r="E10" s="16" t="n">
        <f aca="false">INDEX(Parâmetros!$C$33:$C$37,MATCH(B10,Parâmetros!$A$33:$A$37,0))</f>
        <v>6959.92435130262</v>
      </c>
      <c r="F10" s="7" t="n">
        <f aca="false">MAX(0,(E10-D10)/D10)</f>
        <v>0.0605861451310424</v>
      </c>
      <c r="G10" s="7" t="n">
        <f aca="false">MIN(K10*Parâmetros!$B$19,Parâmetros!$B$8)</f>
        <v>0.0428855118294859</v>
      </c>
      <c r="H10" s="3" t="str">
        <f aca="false">IF(F10&gt;=Parâmetros!$B$6,"Ação","Acompanhamento")</f>
        <v>Acompanhamento</v>
      </c>
      <c r="I10" s="17" t="n">
        <v>301.841825902336</v>
      </c>
      <c r="J10" s="11" t="n">
        <f aca="false">D10*I10</f>
        <v>1980787.9670913</v>
      </c>
      <c r="K10" s="7" t="n">
        <f aca="false">Parâmetros!$B$4+Parâmetros!$B$5*F10</f>
        <v>0.0351465362827606</v>
      </c>
      <c r="L10" s="11" t="n">
        <f aca="false">D10*(1+G10)</f>
        <v>6843.76681962587</v>
      </c>
      <c r="M10" s="14" t="n">
        <v>0</v>
      </c>
      <c r="N10" s="4" t="n">
        <v>1</v>
      </c>
      <c r="O10" s="3" t="str">
        <f aca="false">IF(AND(B10=4,M10=1),IF(N10&lt;0.8,"Subgrupo 7 dias; fronteira de cluster","Subgrupo 7 dias"),IF(N10&lt;0.8,"Fronteira de cluster",""))</f>
        <v/>
      </c>
    </row>
    <row r="11" customFormat="false" ht="15" hidden="false" customHeight="false" outlineLevel="0" collapsed="false">
      <c r="A11" s="14" t="n">
        <v>10</v>
      </c>
      <c r="B11" s="14" t="n">
        <v>1</v>
      </c>
      <c r="C11" s="14" t="s">
        <v>30</v>
      </c>
      <c r="D11" s="15" t="n">
        <v>5568.42091836735</v>
      </c>
      <c r="E11" s="16" t="n">
        <f aca="false">INDEX(Parâmetros!$C$33:$C$37,MATCH(B11,Parâmetros!$A$33:$A$37,0))</f>
        <v>6959.92435130262</v>
      </c>
      <c r="F11" s="7" t="n">
        <f aca="false">MAX(0,(E11-D11)/D11)</f>
        <v>0.249891926873815</v>
      </c>
      <c r="G11" s="7" t="n">
        <f aca="false">MIN(K11*Parâmetros!$B$19,Parâmetros!$B$8)</f>
        <v>0.100632847704955</v>
      </c>
      <c r="H11" s="3" t="str">
        <f aca="false">IF(F11&gt;=Parâmetros!$B$6,"Ação","Acompanhamento")</f>
        <v>Ação</v>
      </c>
      <c r="I11" s="17" t="n">
        <v>303.779193205945</v>
      </c>
      <c r="J11" s="11" t="n">
        <f aca="false">D11*I11</f>
        <v>1691570.41401274</v>
      </c>
      <c r="K11" s="7" t="n">
        <f aca="false">Parâmetros!$B$4+Parâmetros!$B$5*F11</f>
        <v>0.0824729817184537</v>
      </c>
      <c r="L11" s="11" t="n">
        <f aca="false">D11*(1+G11)</f>
        <v>6128.78697260249</v>
      </c>
      <c r="M11" s="14" t="n">
        <v>0</v>
      </c>
      <c r="N11" s="4" t="n">
        <v>0.777777777777778</v>
      </c>
      <c r="O11" s="3" t="str">
        <f aca="false">IF(AND(B11=4,M11=1),IF(N11&lt;0.8,"Subgrupo 7 dias; fronteira de cluster","Subgrupo 7 dias"),IF(N11&lt;0.8,"Fronteira de cluster",""))</f>
        <v>Fronteira de cluster</v>
      </c>
    </row>
    <row r="12" customFormat="false" ht="15" hidden="false" customHeight="false" outlineLevel="0" collapsed="false">
      <c r="A12" s="14" t="n">
        <v>11</v>
      </c>
      <c r="B12" s="14" t="n">
        <v>2</v>
      </c>
      <c r="C12" s="14" t="s">
        <v>31</v>
      </c>
      <c r="D12" s="15" t="n">
        <v>8030.97704081633</v>
      </c>
      <c r="E12" s="16" t="n">
        <f aca="false">INDEX(Parâmetros!$C$33:$C$37,MATCH(B12,Parâmetros!$A$33:$A$37,0))</f>
        <v>6324.80102695764</v>
      </c>
      <c r="F12" s="7" t="n">
        <f aca="false">MAX(0,(E12-D12)/D12)</f>
        <v>0</v>
      </c>
      <c r="G12" s="7" t="n">
        <f aca="false">MIN(K12*Parâmetros!$B$19,Parâmetros!$B$8)</f>
        <v>0.0244038339849275</v>
      </c>
      <c r="H12" s="3" t="str">
        <f aca="false">IF(F12&gt;=Parâmetros!$B$6,"Ação","Acompanhamento")</f>
        <v>Acompanhamento</v>
      </c>
      <c r="I12" s="17" t="n">
        <v>303.779193205945</v>
      </c>
      <c r="J12" s="11" t="n">
        <f aca="false">D12*I12</f>
        <v>2439643.72611465</v>
      </c>
      <c r="K12" s="7" t="n">
        <f aca="false">Parâmetros!$B$4+Parâmetros!$B$5*F12</f>
        <v>0.02</v>
      </c>
      <c r="L12" s="11" t="n">
        <f aca="false">D12*(1+G12)</f>
        <v>8226.96367125717</v>
      </c>
      <c r="M12" s="14" t="n">
        <v>0</v>
      </c>
      <c r="N12" s="4" t="n">
        <v>1</v>
      </c>
      <c r="O12" s="3" t="str">
        <f aca="false">IF(AND(B12=4,M12=1),IF(N12&lt;0.8,"Subgrupo 7 dias; fronteira de cluster","Subgrupo 7 dias"),IF(N12&lt;0.8,"Fronteira de cluster",""))</f>
        <v/>
      </c>
    </row>
    <row r="13" customFormat="false" ht="15" hidden="false" customHeight="false" outlineLevel="0" collapsed="false">
      <c r="A13" s="14" t="n">
        <v>12</v>
      </c>
      <c r="B13" s="14" t="n">
        <v>0</v>
      </c>
      <c r="C13" s="14" t="s">
        <v>29</v>
      </c>
      <c r="D13" s="15" t="n">
        <v>7589.59821428572</v>
      </c>
      <c r="E13" s="16" t="n">
        <f aca="false">INDEX(Parâmetros!$C$33:$C$37,MATCH(B13,Parâmetros!$A$33:$A$37,0))</f>
        <v>5476.37033462034</v>
      </c>
      <c r="F13" s="7" t="n">
        <f aca="false">MAX(0,(E13-D13)/D13)</f>
        <v>0</v>
      </c>
      <c r="G13" s="7" t="n">
        <f aca="false">MIN(K13*Parâmetros!$B$19,Parâmetros!$B$8)</f>
        <v>0.0244038339849275</v>
      </c>
      <c r="H13" s="3" t="str">
        <f aca="false">IF(F13&gt;=Parâmetros!$B$6,"Ação","Acompanhamento")</f>
        <v>Acompanhamento</v>
      </c>
      <c r="I13" s="17" t="n">
        <v>303.779193205945</v>
      </c>
      <c r="J13" s="11" t="n">
        <f aca="false">D13*I13</f>
        <v>2305562.02229299</v>
      </c>
      <c r="K13" s="7" t="n">
        <f aca="false">Parâmetros!$B$4+Parâmetros!$B$5*F13</f>
        <v>0.02</v>
      </c>
      <c r="L13" s="11" t="n">
        <f aca="false">D13*(1+G13)</f>
        <v>7774.81350911945</v>
      </c>
      <c r="M13" s="14" t="n">
        <v>0</v>
      </c>
      <c r="N13" s="4" t="n">
        <v>0.962962962962963</v>
      </c>
      <c r="O13" s="3" t="str">
        <f aca="false">IF(AND(B13=4,M13=1),IF(N13&lt;0.8,"Subgrupo 7 dias; fronteira de cluster","Subgrupo 7 dias"),IF(N13&lt;0.8,"Fronteira de cluster",""))</f>
        <v/>
      </c>
    </row>
    <row r="14" customFormat="false" ht="15" hidden="false" customHeight="false" outlineLevel="0" collapsed="false">
      <c r="A14" s="14" t="n">
        <v>13</v>
      </c>
      <c r="B14" s="14" t="n">
        <v>3</v>
      </c>
      <c r="C14" s="14" t="s">
        <v>32</v>
      </c>
      <c r="D14" s="15" t="n">
        <v>5034.74718196457</v>
      </c>
      <c r="E14" s="16" t="n">
        <f aca="false">INDEX(Parâmetros!$C$33:$C$37,MATCH(B14,Parâmetros!$A$33:$A$37,0))</f>
        <v>5909.24487179487</v>
      </c>
      <c r="F14" s="7" t="n">
        <f aca="false">MAX(0,(E14-D14)/D14)</f>
        <v>0.173692473171824</v>
      </c>
      <c r="G14" s="7" t="n">
        <f aca="false">MIN(K14*Parâmetros!$B$19,Parâmetros!$B$8)</f>
        <v>0.0773883624813857</v>
      </c>
      <c r="H14" s="3" t="str">
        <f aca="false">IF(F14&gt;=Parâmetros!$B$6,"Ação","Acompanhamento")</f>
        <v>Ação</v>
      </c>
      <c r="I14" s="17" t="n">
        <v>299.030343007916</v>
      </c>
      <c r="J14" s="11" t="n">
        <f aca="false">D14*I14</f>
        <v>1505542.176781</v>
      </c>
      <c r="K14" s="7" t="n">
        <f aca="false">Parâmetros!$B$4+Parâmetros!$B$5*F14</f>
        <v>0.063423118292956</v>
      </c>
      <c r="L14" s="11" t="n">
        <f aca="false">D14*(1+G14)</f>
        <v>5424.37802188458</v>
      </c>
      <c r="M14" s="14" t="n">
        <v>0</v>
      </c>
      <c r="N14" s="4" t="n">
        <v>0.717948717948718</v>
      </c>
      <c r="O14" s="3" t="str">
        <f aca="false">IF(AND(B14=4,M14=1),IF(N14&lt;0.8,"Subgrupo 7 dias; fronteira de cluster","Subgrupo 7 dias"),IF(N14&lt;0.8,"Fronteira de cluster",""))</f>
        <v>Fronteira de cluster</v>
      </c>
    </row>
    <row r="15" customFormat="false" ht="15" hidden="false" customHeight="false" outlineLevel="0" collapsed="false">
      <c r="A15" s="14" t="n">
        <v>14</v>
      </c>
      <c r="B15" s="14" t="n">
        <v>0</v>
      </c>
      <c r="C15" s="14" t="s">
        <v>29</v>
      </c>
      <c r="D15" s="15" t="n">
        <v>5508.56739409499</v>
      </c>
      <c r="E15" s="16" t="n">
        <f aca="false">INDEX(Parâmetros!$C$33:$C$37,MATCH(B15,Parâmetros!$A$33:$A$37,0))</f>
        <v>5476.37033462034</v>
      </c>
      <c r="F15" s="7" t="n">
        <f aca="false">MAX(0,(E15-D15)/D15)</f>
        <v>0</v>
      </c>
      <c r="G15" s="7" t="n">
        <f aca="false">MIN(K15*Parâmetros!$B$19,Parâmetros!$B$8)</f>
        <v>0.0244038339849275</v>
      </c>
      <c r="H15" s="3" t="str">
        <f aca="false">IF(F15&gt;=Parâmetros!$B$6,"Ação","Acompanhamento")</f>
        <v>Acompanhamento</v>
      </c>
      <c r="I15" s="17" t="n">
        <v>301.841825902336</v>
      </c>
      <c r="J15" s="11" t="n">
        <f aca="false">D15*I15</f>
        <v>1662716.0403397</v>
      </c>
      <c r="K15" s="7" t="n">
        <f aca="false">Parâmetros!$B$4+Parâmetros!$B$5*F15</f>
        <v>0.02</v>
      </c>
      <c r="L15" s="11" t="n">
        <f aca="false">D15*(1+G15)</f>
        <v>5642.99755827527</v>
      </c>
      <c r="M15" s="14" t="n">
        <v>0</v>
      </c>
      <c r="N15" s="4" t="n">
        <v>1</v>
      </c>
      <c r="O15" s="3" t="str">
        <f aca="false">IF(AND(B15=4,M15=1),IF(N15&lt;0.8,"Subgrupo 7 dias; fronteira de cluster","Subgrupo 7 dias"),IF(N15&lt;0.8,"Fronteira de cluster",""))</f>
        <v/>
      </c>
    </row>
    <row r="16" customFormat="false" ht="15" hidden="false" customHeight="false" outlineLevel="0" collapsed="false">
      <c r="A16" s="14" t="n">
        <v>15</v>
      </c>
      <c r="B16" s="14" t="n">
        <v>1</v>
      </c>
      <c r="C16" s="14" t="s">
        <v>30</v>
      </c>
      <c r="D16" s="15" t="n">
        <v>6672.8443877551</v>
      </c>
      <c r="E16" s="16" t="n">
        <f aca="false">INDEX(Parâmetros!$C$33:$C$37,MATCH(B16,Parâmetros!$A$33:$A$37,0))</f>
        <v>6959.92435130262</v>
      </c>
      <c r="F16" s="7" t="n">
        <f aca="false">MAX(0,(E16-D16)/D16)</f>
        <v>0.0430221277262694</v>
      </c>
      <c r="G16" s="7" t="n">
        <f aca="false">MIN(K16*Parâmetros!$B$19,Parâmetros!$B$8)</f>
        <v>0.0375276447688052</v>
      </c>
      <c r="H16" s="3" t="str">
        <f aca="false">IF(F16&gt;=Parâmetros!$B$6,"Ação","Acompanhamento")</f>
        <v>Acompanhamento</v>
      </c>
      <c r="I16" s="17" t="n">
        <v>303.779193205945</v>
      </c>
      <c r="J16" s="11" t="n">
        <f aca="false">D16*I16</f>
        <v>2027071.28450106</v>
      </c>
      <c r="K16" s="7" t="n">
        <f aca="false">Parâmetros!$B$4+Parâmetros!$B$5*F16</f>
        <v>0.0307555319315673</v>
      </c>
      <c r="L16" s="11" t="n">
        <f aca="false">D16*(1+G16)</f>
        <v>6923.26052153629</v>
      </c>
      <c r="M16" s="14" t="n">
        <v>0</v>
      </c>
      <c r="N16" s="4" t="n">
        <v>1</v>
      </c>
      <c r="O16" s="3" t="str">
        <f aca="false">IF(AND(B16=4,M16=1),IF(N16&lt;0.8,"Subgrupo 7 dias; fronteira de cluster","Subgrupo 7 dias"),IF(N16&lt;0.8,"Fronteira de cluster",""))</f>
        <v/>
      </c>
    </row>
    <row r="17" customFormat="false" ht="15" hidden="false" customHeight="false" outlineLevel="0" collapsed="false">
      <c r="A17" s="14" t="n">
        <v>16</v>
      </c>
      <c r="B17" s="14" t="n">
        <v>1</v>
      </c>
      <c r="C17" s="14" t="s">
        <v>30</v>
      </c>
      <c r="D17" s="15" t="n">
        <v>7680.6833976834</v>
      </c>
      <c r="E17" s="16" t="n">
        <f aca="false">INDEX(Parâmetros!$C$33:$C$37,MATCH(B17,Parâmetros!$A$33:$A$37,0))</f>
        <v>6959.92435130262</v>
      </c>
      <c r="F17" s="7" t="n">
        <f aca="false">MAX(0,(E17-D17)/D17)</f>
        <v>0</v>
      </c>
      <c r="G17" s="7" t="n">
        <f aca="false">MIN(K17*Parâmetros!$B$19,Parâmetros!$B$8)</f>
        <v>0.0244038339849275</v>
      </c>
      <c r="H17" s="3" t="str">
        <f aca="false">IF(F17&gt;=Parâmetros!$B$6,"Ação","Acompanhamento")</f>
        <v>Acompanhamento</v>
      </c>
      <c r="I17" s="17" t="n">
        <v>301.066878980892</v>
      </c>
      <c r="J17" s="11" t="n">
        <f aca="false">D17*I17</f>
        <v>2312399.37898089</v>
      </c>
      <c r="K17" s="7" t="n">
        <f aca="false">Parâmetros!$B$4+Parâmetros!$B$5*F17</f>
        <v>0.02</v>
      </c>
      <c r="L17" s="11" t="n">
        <f aca="false">D17*(1+G17)</f>
        <v>7868.12152021125</v>
      </c>
      <c r="M17" s="14" t="n">
        <v>0</v>
      </c>
      <c r="N17" s="4" t="n">
        <v>1</v>
      </c>
      <c r="O17" s="3" t="str">
        <f aca="false">IF(AND(B17=4,M17=1),IF(N17&lt;0.8,"Subgrupo 7 dias; fronteira de cluster","Subgrupo 7 dias"),IF(N17&lt;0.8,"Fronteira de cluster",""))</f>
        <v/>
      </c>
    </row>
    <row r="18" customFormat="false" ht="15" hidden="false" customHeight="false" outlineLevel="0" collapsed="false">
      <c r="A18" s="14" t="n">
        <v>17</v>
      </c>
      <c r="B18" s="14" t="n">
        <v>3</v>
      </c>
      <c r="C18" s="14" t="s">
        <v>32</v>
      </c>
      <c r="D18" s="15" t="n">
        <v>6335.66240409207</v>
      </c>
      <c r="E18" s="16" t="n">
        <f aca="false">INDEX(Parâmetros!$C$33:$C$37,MATCH(B18,Parâmetros!$A$33:$A$37,0))</f>
        <v>5909.24487179487</v>
      </c>
      <c r="F18" s="7" t="n">
        <f aca="false">MAX(0,(E18-D18)/D18)</f>
        <v>0</v>
      </c>
      <c r="G18" s="7" t="n">
        <f aca="false">MIN(K18*Parâmetros!$B$19,Parâmetros!$B$8)</f>
        <v>0.0244038339849275</v>
      </c>
      <c r="H18" s="3" t="str">
        <f aca="false">IF(F18&gt;=Parâmetros!$B$6,"Ação","Acompanhamento")</f>
        <v>Acompanhamento</v>
      </c>
      <c r="I18" s="17" t="n">
        <v>303.004246284501</v>
      </c>
      <c r="J18" s="11" t="n">
        <f aca="false">D18*I18</f>
        <v>1919732.61146497</v>
      </c>
      <c r="K18" s="7" t="n">
        <f aca="false">Parâmetros!$B$4+Parâmetros!$B$5*F18</f>
        <v>0.02</v>
      </c>
      <c r="L18" s="11" t="n">
        <f aca="false">D18*(1+G18)</f>
        <v>6490.27685758608</v>
      </c>
      <c r="M18" s="14" t="n">
        <v>0</v>
      </c>
      <c r="N18" s="4" t="n">
        <v>0.740740740740741</v>
      </c>
      <c r="O18" s="3" t="str">
        <f aca="false">IF(AND(B18=4,M18=1),IF(N18&lt;0.8,"Subgrupo 7 dias; fronteira de cluster","Subgrupo 7 dias"),IF(N18&lt;0.8,"Fronteira de cluster",""))</f>
        <v>Fronteira de cluster</v>
      </c>
    </row>
    <row r="19" customFormat="false" ht="15" hidden="false" customHeight="false" outlineLevel="0" collapsed="false">
      <c r="A19" s="14" t="n">
        <v>18</v>
      </c>
      <c r="B19" s="14" t="n">
        <v>1</v>
      </c>
      <c r="C19" s="14" t="s">
        <v>30</v>
      </c>
      <c r="D19" s="15" t="n">
        <v>6560.27749360614</v>
      </c>
      <c r="E19" s="16" t="n">
        <f aca="false">INDEX(Parâmetros!$C$33:$C$37,MATCH(B19,Parâmetros!$A$33:$A$37,0))</f>
        <v>6959.92435130262</v>
      </c>
      <c r="F19" s="7" t="n">
        <f aca="false">MAX(0,(E19-D19)/D19)</f>
        <v>0.0609192001536509</v>
      </c>
      <c r="G19" s="7" t="n">
        <f aca="false">MIN(K19*Parâmetros!$B$19,Parâmetros!$B$8)</f>
        <v>0.0429871095729807</v>
      </c>
      <c r="H19" s="3" t="str">
        <f aca="false">IF(F19&gt;=Parâmetros!$B$6,"Ação","Acompanhamento")</f>
        <v>Acompanhamento</v>
      </c>
      <c r="I19" s="17" t="n">
        <v>303.004246284501</v>
      </c>
      <c r="J19" s="11" t="n">
        <f aca="false">D19*I19</f>
        <v>1987791.9373673</v>
      </c>
      <c r="K19" s="7" t="n">
        <f aca="false">Parâmetros!$B$4+Parâmetros!$B$5*F19</f>
        <v>0.0352298000384127</v>
      </c>
      <c r="L19" s="11" t="n">
        <f aca="false">D19*(1+G19)</f>
        <v>6842.28486105294</v>
      </c>
      <c r="M19" s="14" t="n">
        <v>0</v>
      </c>
      <c r="N19" s="4" t="n">
        <v>1</v>
      </c>
      <c r="O19" s="3" t="str">
        <f aca="false">IF(AND(B19=4,M19=1),IF(N19&lt;0.8,"Subgrupo 7 dias; fronteira de cluster","Subgrupo 7 dias"),IF(N19&lt;0.8,"Fronteira de cluster",""))</f>
        <v/>
      </c>
    </row>
    <row r="20" customFormat="false" ht="15" hidden="false" customHeight="false" outlineLevel="0" collapsed="false">
      <c r="A20" s="14" t="n">
        <v>19</v>
      </c>
      <c r="B20" s="14" t="n">
        <v>1</v>
      </c>
      <c r="C20" s="14" t="s">
        <v>30</v>
      </c>
      <c r="D20" s="15" t="n">
        <v>6464.91527599487</v>
      </c>
      <c r="E20" s="16" t="n">
        <f aca="false">INDEX(Parâmetros!$C$33:$C$37,MATCH(B20,Parâmetros!$A$33:$A$37,0))</f>
        <v>6959.92435130262</v>
      </c>
      <c r="F20" s="7" t="n">
        <f aca="false">MAX(0,(E20-D20)/D20)</f>
        <v>0.0765685324826752</v>
      </c>
      <c r="G20" s="7" t="n">
        <f aca="false">MIN(K20*Parâmetros!$B$19,Parâmetros!$B$8)</f>
        <v>0.0477609059246366</v>
      </c>
      <c r="H20" s="3" t="str">
        <f aca="false">IF(F20&gt;=Parâmetros!$B$6,"Ação","Acompanhamento")</f>
        <v>Acompanhamento</v>
      </c>
      <c r="I20" s="17" t="n">
        <v>301.841825902336</v>
      </c>
      <c r="J20" s="11" t="n">
        <f aca="false">D20*I20</f>
        <v>1951381.83121019</v>
      </c>
      <c r="K20" s="7" t="n">
        <f aca="false">Parâmetros!$B$4+Parâmetros!$B$5*F20</f>
        <v>0.0391421331206688</v>
      </c>
      <c r="L20" s="11" t="n">
        <f aca="false">D20*(1+G20)</f>
        <v>6773.6854863024</v>
      </c>
      <c r="M20" s="14" t="n">
        <v>0</v>
      </c>
      <c r="N20" s="4" t="n">
        <v>0.896103896103896</v>
      </c>
      <c r="O20" s="3" t="str">
        <f aca="false">IF(AND(B20=4,M20=1),IF(N20&lt;0.8,"Subgrupo 7 dias; fronteira de cluster","Subgrupo 7 dias"),IF(N20&lt;0.8,"Fronteira de cluster",""))</f>
        <v/>
      </c>
    </row>
    <row r="21" customFormat="false" ht="15" hidden="false" customHeight="false" outlineLevel="0" collapsed="false">
      <c r="A21" s="14" t="n">
        <v>20</v>
      </c>
      <c r="B21" s="14" t="n">
        <v>4</v>
      </c>
      <c r="C21" s="14" t="s">
        <v>33</v>
      </c>
      <c r="D21" s="15" t="n">
        <v>7756.93537964459</v>
      </c>
      <c r="E21" s="16" t="n">
        <f aca="false">INDEX(Parâmetros!$C$33:$C$37,MATCH(B21,Parâmetros!$A$33:$A$37,0))</f>
        <v>8837.10512820513</v>
      </c>
      <c r="F21" s="7" t="n">
        <f aca="false">MAX(0,(E21-D21)/D21)</f>
        <v>0.13925212673488</v>
      </c>
      <c r="G21" s="7" t="n">
        <f aca="false">MIN(K21*Parâmetros!$B$19,Parâmetros!$B$8)</f>
        <v>0.0668824062710035</v>
      </c>
      <c r="H21" s="3" t="str">
        <f aca="false">IF(F21&gt;=Parâmetros!$B$6,"Ação","Acompanhamento")</f>
        <v>Ação</v>
      </c>
      <c r="I21" s="17" t="n">
        <v>298.0672823219</v>
      </c>
      <c r="J21" s="11" t="n">
        <f aca="false">D21*I21</f>
        <v>2312088.64775726</v>
      </c>
      <c r="K21" s="7" t="n">
        <f aca="false">Parâmetros!$B$4+Parâmetros!$B$5*F21</f>
        <v>0.0548130316837199</v>
      </c>
      <c r="L21" s="11" t="n">
        <f aca="false">D21*(1+G21)</f>
        <v>8275.7378831239</v>
      </c>
      <c r="M21" s="14" t="n">
        <v>0</v>
      </c>
      <c r="N21" s="4" t="n">
        <v>1</v>
      </c>
      <c r="O21" s="3" t="str">
        <f aca="false">IF(AND(B21=4,M21=1),IF(N21&lt;0.8,"Subgrupo 7 dias; fronteira de cluster","Subgrupo 7 dias"),IF(N21&lt;0.8,"Fronteira de cluster",""))</f>
        <v/>
      </c>
    </row>
    <row r="22" customFormat="false" ht="15" hidden="false" customHeight="false" outlineLevel="0" collapsed="false">
      <c r="A22" s="14" t="n">
        <v>21</v>
      </c>
      <c r="B22" s="14" t="n">
        <v>3</v>
      </c>
      <c r="C22" s="14" t="s">
        <v>32</v>
      </c>
      <c r="D22" s="15" t="n">
        <v>5482.32046332046</v>
      </c>
      <c r="E22" s="16" t="n">
        <f aca="false">INDEX(Parâmetros!$C$33:$C$37,MATCH(B22,Parâmetros!$A$33:$A$37,0))</f>
        <v>5909.24487179487</v>
      </c>
      <c r="F22" s="7" t="n">
        <f aca="false">MAX(0,(E22-D22)/D22)</f>
        <v>0.077872939265545</v>
      </c>
      <c r="G22" s="7" t="n">
        <f aca="false">MIN(K22*Parâmetros!$B$19,Parâmetros!$B$8)</f>
        <v>0.0481588125068612</v>
      </c>
      <c r="H22" s="3" t="str">
        <f aca="false">IF(F22&gt;=Parâmetros!$B$6,"Ação","Acompanhamento")</f>
        <v>Acompanhamento</v>
      </c>
      <c r="I22" s="17" t="n">
        <v>301.066878980892</v>
      </c>
      <c r="J22" s="11" t="n">
        <f aca="false">D22*I22</f>
        <v>1650545.11146497</v>
      </c>
      <c r="K22" s="7" t="n">
        <f aca="false">Parâmetros!$B$4+Parâmetros!$B$5*F22</f>
        <v>0.0394682348163862</v>
      </c>
      <c r="L22" s="11" t="n">
        <f aca="false">D22*(1+G22)</f>
        <v>5746.34250661604</v>
      </c>
      <c r="M22" s="14" t="n">
        <v>0</v>
      </c>
      <c r="N22" s="4" t="n">
        <v>0.727272727272727</v>
      </c>
      <c r="O22" s="3" t="str">
        <f aca="false">IF(AND(B22=4,M22=1),IF(N22&lt;0.8,"Subgrupo 7 dias; fronteira de cluster","Subgrupo 7 dias"),IF(N22&lt;0.8,"Fronteira de cluster",""))</f>
        <v>Fronteira de cluster</v>
      </c>
    </row>
    <row r="23" customFormat="false" ht="15" hidden="false" customHeight="false" outlineLevel="0" collapsed="false">
      <c r="A23" s="14" t="n">
        <v>22</v>
      </c>
      <c r="B23" s="14" t="n">
        <v>0</v>
      </c>
      <c r="C23" s="14" t="s">
        <v>29</v>
      </c>
      <c r="D23" s="15" t="n">
        <v>4525.85783521809</v>
      </c>
      <c r="E23" s="16" t="n">
        <f aca="false">INDEX(Parâmetros!$C$33:$C$37,MATCH(B23,Parâmetros!$A$33:$A$37,0))</f>
        <v>5476.37033462034</v>
      </c>
      <c r="F23" s="7" t="n">
        <f aca="false">MAX(0,(E23-D23)/D23)</f>
        <v>0.210018196330826</v>
      </c>
      <c r="G23" s="7" t="n">
        <f aca="false">MIN(K23*Parâmetros!$B$19,Parâmetros!$B$8)</f>
        <v>0.0884694489483197</v>
      </c>
      <c r="H23" s="3" t="str">
        <f aca="false">IF(F23&gt;=Parâmetros!$B$6,"Ação","Acompanhamento")</f>
        <v>Ação</v>
      </c>
      <c r="I23" s="17" t="n">
        <v>298.0672823219</v>
      </c>
      <c r="J23" s="11" t="n">
        <f aca="false">D23*I23</f>
        <v>1349010.14511873</v>
      </c>
      <c r="K23" s="7" t="n">
        <f aca="false">Parâmetros!$B$4+Parâmetros!$B$5*F23</f>
        <v>0.0725045490827065</v>
      </c>
      <c r="L23" s="11" t="n">
        <f aca="false">D23*(1+G23)</f>
        <v>4926.25798391827</v>
      </c>
      <c r="M23" s="14" t="n">
        <v>0</v>
      </c>
      <c r="N23" s="4" t="n">
        <v>1</v>
      </c>
      <c r="O23" s="3" t="str">
        <f aca="false">IF(AND(B23=4,M23=1),IF(N23&lt;0.8,"Subgrupo 7 dias; fronteira de cluster","Subgrupo 7 dias"),IF(N23&lt;0.8,"Fronteira de cluster",""))</f>
        <v/>
      </c>
    </row>
    <row r="24" customFormat="false" ht="15" hidden="false" customHeight="false" outlineLevel="0" collapsed="false">
      <c r="A24" s="14" t="n">
        <v>23</v>
      </c>
      <c r="B24" s="14" t="n">
        <v>1</v>
      </c>
      <c r="C24" s="14" t="s">
        <v>30</v>
      </c>
      <c r="D24" s="15" t="n">
        <v>5520.2811296534</v>
      </c>
      <c r="E24" s="16" t="n">
        <f aca="false">INDEX(Parâmetros!$C$33:$C$37,MATCH(B24,Parâmetros!$A$33:$A$37,0))</f>
        <v>6959.92435130262</v>
      </c>
      <c r="F24" s="7" t="n">
        <f aca="false">MAX(0,(E24-D24)/D24)</f>
        <v>0.260791649525938</v>
      </c>
      <c r="G24" s="7" t="n">
        <f aca="false">MIN(K24*Parâmetros!$B$19,Parâmetros!$B$8)</f>
        <v>0.103957785481007</v>
      </c>
      <c r="H24" s="3" t="str">
        <f aca="false">IF(F24&gt;=Parâmetros!$B$6,"Ação","Acompanhamento")</f>
        <v>Ação</v>
      </c>
      <c r="I24" s="17" t="n">
        <v>301.841825902336</v>
      </c>
      <c r="J24" s="11" t="n">
        <f aca="false">D24*I24</f>
        <v>1666251.73566879</v>
      </c>
      <c r="K24" s="7" t="n">
        <f aca="false">Parâmetros!$B$4+Parâmetros!$B$5*F24</f>
        <v>0.0851979123814845</v>
      </c>
      <c r="L24" s="11" t="n">
        <f aca="false">D24*(1+G24)</f>
        <v>6094.15733112476</v>
      </c>
      <c r="M24" s="14" t="n">
        <v>0</v>
      </c>
      <c r="N24" s="4" t="n">
        <v>1</v>
      </c>
      <c r="O24" s="3" t="str">
        <f aca="false">IF(AND(B24=4,M24=1),IF(N24&lt;0.8,"Subgrupo 7 dias; fronteira de cluster","Subgrupo 7 dias"),IF(N24&lt;0.8,"Fronteira de cluster",""))</f>
        <v/>
      </c>
    </row>
    <row r="25" customFormat="false" ht="15" hidden="false" customHeight="false" outlineLevel="0" collapsed="false">
      <c r="A25" s="14" t="n">
        <v>24</v>
      </c>
      <c r="B25" s="14" t="n">
        <v>1</v>
      </c>
      <c r="C25" s="14" t="s">
        <v>30</v>
      </c>
      <c r="D25" s="15" t="n">
        <v>9388.28626444159</v>
      </c>
      <c r="E25" s="16" t="n">
        <f aca="false">INDEX(Parâmetros!$C$33:$C$37,MATCH(B25,Parâmetros!$A$33:$A$37,0))</f>
        <v>6959.92435130262</v>
      </c>
      <c r="F25" s="7" t="n">
        <f aca="false">MAX(0,(E25-D25)/D25)</f>
        <v>0</v>
      </c>
      <c r="G25" s="7" t="n">
        <f aca="false">MIN(K25*Parâmetros!$B$19,Parâmetros!$B$8)</f>
        <v>0.0244038339849275</v>
      </c>
      <c r="H25" s="3" t="str">
        <f aca="false">IF(F25&gt;=Parâmetros!$B$6,"Ação","Acompanhamento")</f>
        <v>Acompanhamento</v>
      </c>
      <c r="I25" s="17" t="n">
        <v>301.841825902336</v>
      </c>
      <c r="J25" s="11" t="n">
        <f aca="false">D25*I25</f>
        <v>2833777.46815287</v>
      </c>
      <c r="K25" s="7" t="n">
        <f aca="false">Parâmetros!$B$4+Parâmetros!$B$5*F25</f>
        <v>0.02</v>
      </c>
      <c r="L25" s="11" t="n">
        <f aca="false">D25*(1+G25)</f>
        <v>9617.396443842</v>
      </c>
      <c r="M25" s="14" t="n">
        <v>0</v>
      </c>
      <c r="N25" s="4" t="n">
        <v>1</v>
      </c>
      <c r="O25" s="3" t="str">
        <f aca="false">IF(AND(B25=4,M25=1),IF(N25&lt;0.8,"Subgrupo 7 dias; fronteira de cluster","Subgrupo 7 dias"),IF(N25&lt;0.8,"Fronteira de cluster",""))</f>
        <v/>
      </c>
    </row>
    <row r="26" customFormat="false" ht="15" hidden="false" customHeight="false" outlineLevel="0" collapsed="false">
      <c r="A26" s="14" t="n">
        <v>25</v>
      </c>
      <c r="B26" s="14" t="n">
        <v>4</v>
      </c>
      <c r="C26" s="14" t="s">
        <v>33</v>
      </c>
      <c r="D26" s="15" t="n">
        <v>11168.7426666667</v>
      </c>
      <c r="E26" s="16" t="n">
        <f aca="false">INDEX(Parâmetros!$C$33:$C$37,MATCH(B26,Parâmetros!$A$33:$A$37,0))</f>
        <v>8837.10512820513</v>
      </c>
      <c r="F26" s="7" t="n">
        <f aca="false">MAX(0,(E26-D26)/D26)</f>
        <v>0</v>
      </c>
      <c r="G26" s="7" t="n">
        <f aca="false">MIN(K26*Parâmetros!$B$19,Parâmetros!$B$8)</f>
        <v>0.0244038339849275</v>
      </c>
      <c r="H26" s="3" t="str">
        <f aca="false">IF(F26&gt;=Parâmetros!$B$6,"Ação","Acompanhamento")</f>
        <v>Acompanhamento</v>
      </c>
      <c r="I26" s="17" t="n">
        <v>291.380042462845</v>
      </c>
      <c r="J26" s="11" t="n">
        <f aca="false">D26*I26</f>
        <v>3254348.71246992</v>
      </c>
      <c r="K26" s="7" t="n">
        <f aca="false">Parâmetros!$B$4+Parâmetros!$B$5*F26</f>
        <v>0.02</v>
      </c>
      <c r="L26" s="11" t="n">
        <f aca="false">D26*(1+G26)</f>
        <v>11441.3028085244</v>
      </c>
      <c r="M26" s="14" t="n">
        <v>0</v>
      </c>
      <c r="N26" s="4" t="n">
        <v>0.976190476190476</v>
      </c>
      <c r="O26" s="3" t="str">
        <f aca="false">IF(AND(B26=4,M26=1),IF(N26&lt;0.8,"Subgrupo 7 dias; fronteira de cluster","Subgrupo 7 dias"),IF(N26&lt;0.8,"Fronteira de cluster",""))</f>
        <v/>
      </c>
    </row>
    <row r="27" customFormat="false" ht="15" hidden="false" customHeight="false" outlineLevel="0" collapsed="false">
      <c r="A27" s="14" t="n">
        <v>26</v>
      </c>
      <c r="B27" s="14" t="n">
        <v>1</v>
      </c>
      <c r="C27" s="14" t="s">
        <v>30</v>
      </c>
      <c r="D27" s="15" t="n">
        <v>6671.69565217391</v>
      </c>
      <c r="E27" s="16" t="n">
        <f aca="false">INDEX(Parâmetros!$C$33:$C$37,MATCH(B27,Parâmetros!$A$33:$A$37,0))</f>
        <v>6959.92435130262</v>
      </c>
      <c r="F27" s="7" t="n">
        <f aca="false">MAX(0,(E27-D27)/D27)</f>
        <v>0.0432017157489478</v>
      </c>
      <c r="G27" s="7" t="n">
        <f aca="false">MIN(K27*Parâmetros!$B$19,Parâmetros!$B$8)</f>
        <v>0.0375824277224443</v>
      </c>
      <c r="H27" s="3" t="str">
        <f aca="false">IF(F27&gt;=Parâmetros!$B$6,"Ação","Acompanhamento")</f>
        <v>Acompanhamento</v>
      </c>
      <c r="I27" s="17" t="n">
        <v>303.004246284501</v>
      </c>
      <c r="J27" s="11" t="n">
        <f aca="false">D27*I27</f>
        <v>2021552.11252654</v>
      </c>
      <c r="K27" s="7" t="n">
        <f aca="false">Parâmetros!$B$4+Parâmetros!$B$5*F27</f>
        <v>0.030800428937237</v>
      </c>
      <c r="L27" s="11" t="n">
        <f aca="false">D27*(1+G27)</f>
        <v>6922.43417180789</v>
      </c>
      <c r="M27" s="14" t="n">
        <v>0</v>
      </c>
      <c r="N27" s="4" t="n">
        <v>1</v>
      </c>
      <c r="O27" s="3" t="str">
        <f aca="false">IF(AND(B27=4,M27=1),IF(N27&lt;0.8,"Subgrupo 7 dias; fronteira de cluster","Subgrupo 7 dias"),IF(N27&lt;0.8,"Fronteira de cluster",""))</f>
        <v/>
      </c>
    </row>
    <row r="28" customFormat="false" ht="15" hidden="false" customHeight="false" outlineLevel="0" collapsed="false">
      <c r="A28" s="14" t="n">
        <v>27</v>
      </c>
      <c r="B28" s="14" t="n">
        <v>0</v>
      </c>
      <c r="C28" s="14" t="s">
        <v>29</v>
      </c>
      <c r="D28" s="15" t="n">
        <v>9478.57381258023</v>
      </c>
      <c r="E28" s="16" t="n">
        <f aca="false">INDEX(Parâmetros!$C$33:$C$37,MATCH(B28,Parâmetros!$A$33:$A$37,0))</f>
        <v>5476.37033462034</v>
      </c>
      <c r="F28" s="7" t="n">
        <f aca="false">MAX(0,(E28-D28)/D28)</f>
        <v>0</v>
      </c>
      <c r="G28" s="7" t="n">
        <f aca="false">MIN(K28*Parâmetros!$B$19,Parâmetros!$B$8)</f>
        <v>0.0244038339849275</v>
      </c>
      <c r="H28" s="3" t="str">
        <f aca="false">IF(F28&gt;=Parâmetros!$B$6,"Ação","Acompanhamento")</f>
        <v>Acompanhamento</v>
      </c>
      <c r="I28" s="17" t="n">
        <v>301.841825902336</v>
      </c>
      <c r="J28" s="11" t="n">
        <f aca="false">D28*I28</f>
        <v>2861030.02653928</v>
      </c>
      <c r="K28" s="7" t="n">
        <f aca="false">Parâmetros!$B$4+Parâmetros!$B$5*F28</f>
        <v>0.02</v>
      </c>
      <c r="L28" s="11" t="n">
        <f aca="false">D28*(1+G28)</f>
        <v>9709.88735431632</v>
      </c>
      <c r="M28" s="14" t="n">
        <v>0</v>
      </c>
      <c r="N28" s="4" t="n">
        <v>0.951807228915663</v>
      </c>
      <c r="O28" s="3" t="str">
        <f aca="false">IF(AND(B28=4,M28=1),IF(N28&lt;0.8,"Subgrupo 7 dias; fronteira de cluster","Subgrupo 7 dias"),IF(N28&lt;0.8,"Fronteira de cluster",""))</f>
        <v/>
      </c>
    </row>
    <row r="29" customFormat="false" ht="15" hidden="false" customHeight="false" outlineLevel="0" collapsed="false">
      <c r="A29" s="14" t="n">
        <v>28</v>
      </c>
      <c r="B29" s="14" t="n">
        <v>3</v>
      </c>
      <c r="C29" s="14" t="s">
        <v>32</v>
      </c>
      <c r="D29" s="15" t="n">
        <v>5313.73697916667</v>
      </c>
      <c r="E29" s="16" t="n">
        <f aca="false">INDEX(Parâmetros!$C$33:$C$37,MATCH(B29,Parâmetros!$A$33:$A$37,0))</f>
        <v>5909.24487179487</v>
      </c>
      <c r="F29" s="7" t="n">
        <f aca="false">MAX(0,(E29-D29)/D29)</f>
        <v>0.112069508702253</v>
      </c>
      <c r="G29" s="7" t="n">
        <f aca="false">MIN(K29*Parâmetros!$B$19,Parâmetros!$B$8)</f>
        <v>0.0585904050492046</v>
      </c>
      <c r="H29" s="3" t="str">
        <f aca="false">IF(F29&gt;=Parâmetros!$B$6,"Ação","Acompanhamento")</f>
        <v>Ação</v>
      </c>
      <c r="I29" s="17" t="n">
        <v>298.742038216561</v>
      </c>
      <c r="J29" s="11" t="n">
        <f aca="false">D29*I29</f>
        <v>1587436.61570296</v>
      </c>
      <c r="K29" s="7" t="n">
        <f aca="false">Parâmetros!$B$4+Parâmetros!$B$5*F29</f>
        <v>0.0480173771755634</v>
      </c>
      <c r="L29" s="11" t="n">
        <f aca="false">D29*(1+G29)</f>
        <v>5625.07098110098</v>
      </c>
      <c r="M29" s="14" t="n">
        <v>0</v>
      </c>
      <c r="N29" s="4" t="n">
        <v>0.975308641975309</v>
      </c>
      <c r="O29" s="3" t="str">
        <f aca="false">IF(AND(B29=4,M29=1),IF(N29&lt;0.8,"Subgrupo 7 dias; fronteira de cluster","Subgrupo 7 dias"),IF(N29&lt;0.8,"Fronteira de cluster",""))</f>
        <v/>
      </c>
    </row>
    <row r="30" customFormat="false" ht="15" hidden="false" customHeight="false" outlineLevel="0" collapsed="false">
      <c r="A30" s="14" t="n">
        <v>29</v>
      </c>
      <c r="B30" s="14" t="n">
        <v>1</v>
      </c>
      <c r="C30" s="14" t="s">
        <v>30</v>
      </c>
      <c r="D30" s="15" t="n">
        <v>7364.77535301669</v>
      </c>
      <c r="E30" s="16" t="n">
        <f aca="false">INDEX(Parâmetros!$C$33:$C$37,MATCH(B30,Parâmetros!$A$33:$A$37,0))</f>
        <v>6959.92435130262</v>
      </c>
      <c r="F30" s="7" t="n">
        <f aca="false">MAX(0,(E30-D30)/D30)</f>
        <v>0</v>
      </c>
      <c r="G30" s="7" t="n">
        <f aca="false">MIN(K30*Parâmetros!$B$19,Parâmetros!$B$8)</f>
        <v>0.0244038339849275</v>
      </c>
      <c r="H30" s="3" t="str">
        <f aca="false">IF(F30&gt;=Parâmetros!$B$6,"Ação","Acompanhamento")</f>
        <v>Acompanhamento</v>
      </c>
      <c r="I30" s="17" t="n">
        <v>301.841825902336</v>
      </c>
      <c r="J30" s="11" t="n">
        <f aca="false">D30*I30</f>
        <v>2222997.23991507</v>
      </c>
      <c r="K30" s="7" t="n">
        <f aca="false">Parâmetros!$B$4+Parâmetros!$B$5*F30</f>
        <v>0.02</v>
      </c>
      <c r="L30" s="11" t="n">
        <f aca="false">D30*(1+G30)</f>
        <v>7544.50410806799</v>
      </c>
      <c r="M30" s="14" t="n">
        <v>0</v>
      </c>
      <c r="N30" s="4" t="n">
        <v>1</v>
      </c>
      <c r="O30" s="3" t="str">
        <f aca="false">IF(AND(B30=4,M30=1),IF(N30&lt;0.8,"Subgrupo 7 dias; fronteira de cluster","Subgrupo 7 dias"),IF(N30&lt;0.8,"Fronteira de cluster",""))</f>
        <v/>
      </c>
    </row>
    <row r="31" customFormat="false" ht="15" hidden="false" customHeight="false" outlineLevel="0" collapsed="false">
      <c r="A31" s="14" t="n">
        <v>30</v>
      </c>
      <c r="B31" s="14" t="n">
        <v>0</v>
      </c>
      <c r="C31" s="14" t="s">
        <v>29</v>
      </c>
      <c r="D31" s="15" t="n">
        <v>5294.7824967825</v>
      </c>
      <c r="E31" s="16" t="n">
        <f aca="false">INDEX(Parâmetros!$C$33:$C$37,MATCH(B31,Parâmetros!$A$33:$A$37,0))</f>
        <v>5476.37033462034</v>
      </c>
      <c r="F31" s="7" t="n">
        <f aca="false">MAX(0,(E31-D31)/D31)</f>
        <v>0.0342956179877424</v>
      </c>
      <c r="G31" s="7" t="n">
        <f aca="false">MIN(K31*Parâmetros!$B$19,Parâmetros!$B$8)</f>
        <v>0.0348656410822194</v>
      </c>
      <c r="H31" s="3" t="str">
        <f aca="false">IF(F31&gt;=Parâmetros!$B$6,"Ação","Acompanhamento")</f>
        <v>Acompanhamento</v>
      </c>
      <c r="I31" s="17" t="n">
        <v>301.066878980892</v>
      </c>
      <c r="J31" s="11" t="n">
        <f aca="false">D31*I31</f>
        <v>1594083.64118896</v>
      </c>
      <c r="K31" s="7" t="n">
        <f aca="false">Parâmetros!$B$4+Parâmetros!$B$5*F31</f>
        <v>0.0285739044969356</v>
      </c>
      <c r="L31" s="11" t="n">
        <f aca="false">D31*(1+G31)</f>
        <v>5479.38848292373</v>
      </c>
      <c r="M31" s="14" t="n">
        <v>0</v>
      </c>
      <c r="N31" s="4" t="n">
        <v>0.987341772151899</v>
      </c>
      <c r="O31" s="3" t="str">
        <f aca="false">IF(AND(B31=4,M31=1),IF(N31&lt;0.8,"Subgrupo 7 dias; fronteira de cluster","Subgrupo 7 dias"),IF(N31&lt;0.8,"Fronteira de cluster",""))</f>
        <v/>
      </c>
    </row>
    <row r="32" customFormat="false" ht="15" hidden="false" customHeight="false" outlineLevel="0" collapsed="false">
      <c r="A32" s="14" t="n">
        <v>31</v>
      </c>
      <c r="B32" s="14" t="n">
        <v>1</v>
      </c>
      <c r="C32" s="14" t="s">
        <v>30</v>
      </c>
      <c r="D32" s="15" t="n">
        <v>5862.42729591837</v>
      </c>
      <c r="E32" s="16" t="n">
        <f aca="false">INDEX(Parâmetros!$C$33:$C$37,MATCH(B32,Parâmetros!$A$33:$A$37,0))</f>
        <v>6959.92435130262</v>
      </c>
      <c r="F32" s="7" t="n">
        <f aca="false">MAX(0,(E32-D32)/D32)</f>
        <v>0.187208642425019</v>
      </c>
      <c r="G32" s="7" t="n">
        <f aca="false">MIN(K32*Parâmetros!$B$19,Parâmetros!$B$8)</f>
        <v>0.0815114418634751</v>
      </c>
      <c r="H32" s="3" t="str">
        <f aca="false">IF(F32&gt;=Parâmetros!$B$6,"Ação","Acompanhamento")</f>
        <v>Ação</v>
      </c>
      <c r="I32" s="17" t="n">
        <v>303.779193205945</v>
      </c>
      <c r="J32" s="11" t="n">
        <f aca="false">D32*I32</f>
        <v>1780883.43418259</v>
      </c>
      <c r="K32" s="7" t="n">
        <f aca="false">Parâmetros!$B$4+Parâmetros!$B$5*F32</f>
        <v>0.0668021606062548</v>
      </c>
      <c r="L32" s="11" t="n">
        <f aca="false">D32*(1+G32)</f>
        <v>6340.28219762847</v>
      </c>
      <c r="M32" s="14" t="n">
        <v>0</v>
      </c>
      <c r="N32" s="4" t="n">
        <v>1</v>
      </c>
      <c r="O32" s="3" t="str">
        <f aca="false">IF(AND(B32=4,M32=1),IF(N32&lt;0.8,"Subgrupo 7 dias; fronteira de cluster","Subgrupo 7 dias"),IF(N32&lt;0.8,"Fronteira de cluster",""))</f>
        <v/>
      </c>
    </row>
    <row r="33" customFormat="false" ht="15" hidden="false" customHeight="false" outlineLevel="0" collapsed="false">
      <c r="A33" s="14" t="n">
        <v>32</v>
      </c>
      <c r="B33" s="14" t="n">
        <v>3</v>
      </c>
      <c r="C33" s="14" t="s">
        <v>32</v>
      </c>
      <c r="D33" s="15" t="n">
        <v>4067.82125603865</v>
      </c>
      <c r="E33" s="16" t="n">
        <f aca="false">INDEX(Parâmetros!$C$33:$C$37,MATCH(B33,Parâmetros!$A$33:$A$37,0))</f>
        <v>5909.24487179487</v>
      </c>
      <c r="F33" s="7" t="n">
        <f aca="false">MAX(0,(E33-D33)/D33)</f>
        <v>0.452680562849866</v>
      </c>
      <c r="G33" s="7" t="n">
        <f aca="false">MIN(K33*Parâmetros!$B$19,Parâmetros!$B$8)</f>
        <v>0.162493100284823</v>
      </c>
      <c r="H33" s="3" t="str">
        <f aca="false">IF(F33&gt;=Parâmetros!$B$6,"Ação","Acompanhamento")</f>
        <v>Ação</v>
      </c>
      <c r="I33" s="17" t="n">
        <v>299.030343007916</v>
      </c>
      <c r="J33" s="11" t="n">
        <f aca="false">D33*I33</f>
        <v>1216401.98548813</v>
      </c>
      <c r="K33" s="7" t="n">
        <f aca="false">Parâmetros!$B$4+Parâmetros!$B$5*F33</f>
        <v>0.133170140712467</v>
      </c>
      <c r="L33" s="11" t="n">
        <f aca="false">D33*(1+G33)</f>
        <v>4728.81414333687</v>
      </c>
      <c r="M33" s="14" t="n">
        <v>0</v>
      </c>
      <c r="N33" s="4" t="n">
        <v>0.817073170731707</v>
      </c>
      <c r="O33" s="3" t="str">
        <f aca="false">IF(AND(B33=4,M33=1),IF(N33&lt;0.8,"Subgrupo 7 dias; fronteira de cluster","Subgrupo 7 dias"),IF(N33&lt;0.8,"Fronteira de cluster",""))</f>
        <v/>
      </c>
    </row>
    <row r="34" customFormat="false" ht="15" hidden="false" customHeight="false" outlineLevel="0" collapsed="false">
      <c r="A34" s="14" t="n">
        <v>33</v>
      </c>
      <c r="B34" s="14" t="n">
        <v>4</v>
      </c>
      <c r="C34" s="14" t="s">
        <v>33</v>
      </c>
      <c r="D34" s="15" t="n">
        <v>8436.65982028241</v>
      </c>
      <c r="E34" s="16" t="n">
        <f aca="false">INDEX(Parâmetros!$C$33:$C$37,MATCH(B34,Parâmetros!$A$33:$A$37,0))</f>
        <v>8837.10512820513</v>
      </c>
      <c r="F34" s="7" t="n">
        <f aca="false">MAX(0,(E34-D34)/D34)</f>
        <v>0.0474649110492771</v>
      </c>
      <c r="G34" s="7" t="n">
        <f aca="false">MIN(K34*Parâmetros!$B$19,Parâmetros!$B$8)</f>
        <v>0.0388829066018763</v>
      </c>
      <c r="H34" s="3" t="str">
        <f aca="false">IF(F34&gt;=Parâmetros!$B$6,"Ação","Acompanhamento")</f>
        <v>Acompanhamento</v>
      </c>
      <c r="I34" s="17" t="n">
        <v>301.841825902336</v>
      </c>
      <c r="J34" s="11" t="n">
        <f aca="false">D34*I34</f>
        <v>2546536.80467091</v>
      </c>
      <c r="K34" s="7" t="n">
        <f aca="false">Parâmetros!$B$4+Parâmetros!$B$5*F34</f>
        <v>0.0318662277623193</v>
      </c>
      <c r="L34" s="11" t="n">
        <f aca="false">D34*(1+G34)</f>
        <v>8764.70167610626</v>
      </c>
      <c r="M34" s="14" t="n">
        <v>0</v>
      </c>
      <c r="N34" s="4" t="n">
        <v>1</v>
      </c>
      <c r="O34" s="3" t="str">
        <f aca="false">IF(AND(B34=4,M34=1),IF(N34&lt;0.8,"Subgrupo 7 dias; fronteira de cluster","Subgrupo 7 dias"),IF(N34&lt;0.8,"Fronteira de cluster",""))</f>
        <v/>
      </c>
    </row>
    <row r="35" customFormat="false" ht="15" hidden="false" customHeight="false" outlineLevel="0" collapsed="false">
      <c r="A35" s="14" t="n">
        <v>34</v>
      </c>
      <c r="B35" s="14" t="n">
        <v>4</v>
      </c>
      <c r="C35" s="14" t="s">
        <v>33</v>
      </c>
      <c r="D35" s="15" t="n">
        <v>8031.48596938776</v>
      </c>
      <c r="E35" s="16" t="n">
        <f aca="false">INDEX(Parâmetros!$C$33:$C$37,MATCH(B35,Parâmetros!$A$33:$A$37,0))</f>
        <v>8837.10512820513</v>
      </c>
      <c r="F35" s="7" t="n">
        <f aca="false">MAX(0,(E35-D35)/D35)</f>
        <v>0.100307609561669</v>
      </c>
      <c r="G35" s="7" t="n">
        <f aca="false">MIN(K35*Parâmetros!$B$19,Parâmetros!$B$8)</f>
        <v>0.0550024621245262</v>
      </c>
      <c r="H35" s="3" t="str">
        <f aca="false">IF(F35&gt;=Parâmetros!$B$6,"Ação","Acompanhamento")</f>
        <v>Ação</v>
      </c>
      <c r="I35" s="17" t="n">
        <v>303.779193205945</v>
      </c>
      <c r="J35" s="11" t="n">
        <f aca="false">D35*I35</f>
        <v>2439798.32802548</v>
      </c>
      <c r="K35" s="7" t="n">
        <f aca="false">Parâmetros!$B$4+Parâmetros!$B$5*F35</f>
        <v>0.0450769023904174</v>
      </c>
      <c r="L35" s="11" t="n">
        <f aca="false">D35*(1+G35)</f>
        <v>8473.23747222267</v>
      </c>
      <c r="M35" s="14" t="n">
        <v>0</v>
      </c>
      <c r="N35" s="4" t="n">
        <v>1</v>
      </c>
      <c r="O35" s="3" t="str">
        <f aca="false">IF(AND(B35=4,M35=1),IF(N35&lt;0.8,"Subgrupo 7 dias; fronteira de cluster","Subgrupo 7 dias"),IF(N35&lt;0.8,"Fronteira de cluster",""))</f>
        <v/>
      </c>
    </row>
    <row r="36" customFormat="false" ht="15" hidden="false" customHeight="false" outlineLevel="0" collapsed="false">
      <c r="A36" s="14" t="n">
        <v>35</v>
      </c>
      <c r="B36" s="14" t="n">
        <v>1</v>
      </c>
      <c r="C36" s="14" t="s">
        <v>30</v>
      </c>
      <c r="D36" s="15" t="n">
        <v>9703.07188703466</v>
      </c>
      <c r="E36" s="16" t="n">
        <f aca="false">INDEX(Parâmetros!$C$33:$C$37,MATCH(B36,Parâmetros!$A$33:$A$37,0))</f>
        <v>6959.92435130262</v>
      </c>
      <c r="F36" s="7" t="n">
        <f aca="false">MAX(0,(E36-D36)/D36)</f>
        <v>0</v>
      </c>
      <c r="G36" s="7" t="n">
        <f aca="false">MIN(K36*Parâmetros!$B$19,Parâmetros!$B$8)</f>
        <v>0.0244038339849275</v>
      </c>
      <c r="H36" s="3" t="str">
        <f aca="false">IF(F36&gt;=Parâmetros!$B$6,"Ação","Acompanhamento")</f>
        <v>Acompanhamento</v>
      </c>
      <c r="I36" s="17" t="n">
        <v>301.841825902336</v>
      </c>
      <c r="J36" s="11" t="n">
        <f aca="false">D36*I36</f>
        <v>2928792.93524416</v>
      </c>
      <c r="K36" s="7" t="n">
        <f aca="false">Parâmetros!$B$4+Parâmetros!$B$5*F36</f>
        <v>0.02</v>
      </c>
      <c r="L36" s="11" t="n">
        <f aca="false">D36*(1+G36)</f>
        <v>9939.86404250967</v>
      </c>
      <c r="M36" s="14" t="n">
        <v>0</v>
      </c>
      <c r="N36" s="4" t="n">
        <v>1</v>
      </c>
      <c r="O36" s="3" t="str">
        <f aca="false">IF(AND(B36=4,M36=1),IF(N36&lt;0.8,"Subgrupo 7 dias; fronteira de cluster","Subgrupo 7 dias"),IF(N36&lt;0.8,"Fronteira de cluster",""))</f>
        <v/>
      </c>
    </row>
    <row r="37" customFormat="false" ht="15" hidden="false" customHeight="false" outlineLevel="0" collapsed="false">
      <c r="A37" s="14" t="n">
        <v>36</v>
      </c>
      <c r="B37" s="14" t="n">
        <v>4</v>
      </c>
      <c r="C37" s="14" t="s">
        <v>33</v>
      </c>
      <c r="D37" s="15" t="n">
        <v>9363.63826366559</v>
      </c>
      <c r="E37" s="16" t="n">
        <f aca="false">INDEX(Parâmetros!$C$33:$C$37,MATCH(B37,Parâmetros!$A$33:$A$37,0))</f>
        <v>8837.10512820513</v>
      </c>
      <c r="F37" s="7" t="n">
        <f aca="false">MAX(0,(E37-D37)/D37)</f>
        <v>0</v>
      </c>
      <c r="G37" s="7" t="n">
        <f aca="false">MIN(K37*Parâmetros!$B$19,Parâmetros!$B$8)</f>
        <v>0.0244038339849275</v>
      </c>
      <c r="H37" s="3" t="str">
        <f aca="false">IF(F37&gt;=Parâmetros!$B$6,"Ação","Acompanhamento")</f>
        <v>Acompanhamento</v>
      </c>
      <c r="I37" s="17" t="n">
        <v>299.511873350924</v>
      </c>
      <c r="J37" s="11" t="n">
        <f aca="false">D37*I37</f>
        <v>2804520.83773087</v>
      </c>
      <c r="K37" s="7" t="n">
        <f aca="false">Parâmetros!$B$4+Parâmetros!$B$5*F37</f>
        <v>0.02</v>
      </c>
      <c r="L37" s="11" t="n">
        <f aca="false">D37*(1+G37)</f>
        <v>9592.146937347</v>
      </c>
      <c r="M37" s="14" t="n">
        <v>0</v>
      </c>
      <c r="N37" s="4" t="n">
        <v>1</v>
      </c>
      <c r="O37" s="3" t="str">
        <f aca="false">IF(AND(B37=4,M37=1),IF(N37&lt;0.8,"Subgrupo 7 dias; fronteira de cluster","Subgrupo 7 dias"),IF(N37&lt;0.8,"Fronteira de cluster",""))</f>
        <v/>
      </c>
    </row>
    <row r="38" customFormat="false" ht="15" hidden="false" customHeight="false" outlineLevel="0" collapsed="false">
      <c r="A38" s="14" t="n">
        <v>37</v>
      </c>
      <c r="B38" s="14" t="n">
        <v>1</v>
      </c>
      <c r="C38" s="14" t="s">
        <v>30</v>
      </c>
      <c r="D38" s="15" t="n">
        <v>7114.17051282051</v>
      </c>
      <c r="E38" s="16" t="n">
        <f aca="false">INDEX(Parâmetros!$C$33:$C$37,MATCH(B38,Parâmetros!$A$33:$A$37,0))</f>
        <v>6959.92435130262</v>
      </c>
      <c r="F38" s="7" t="n">
        <f aca="false">MAX(0,(E38-D38)/D38)</f>
        <v>0</v>
      </c>
      <c r="G38" s="7" t="n">
        <f aca="false">MIN(K38*Parâmetros!$B$19,Parâmetros!$B$8)</f>
        <v>0.0244038339849275</v>
      </c>
      <c r="H38" s="3" t="str">
        <f aca="false">IF(F38&gt;=Parâmetros!$B$6,"Ação","Acompanhamento")</f>
        <v>Acompanhamento</v>
      </c>
      <c r="I38" s="17" t="n">
        <v>302.229299363057</v>
      </c>
      <c r="J38" s="11" t="n">
        <f aca="false">D38*I38</f>
        <v>2150110.76963907</v>
      </c>
      <c r="K38" s="7" t="n">
        <f aca="false">Parâmetros!$B$4+Parâmetros!$B$5*F38</f>
        <v>0.02</v>
      </c>
      <c r="L38" s="11" t="n">
        <f aca="false">D38*(1+G38)</f>
        <v>7287.78354895585</v>
      </c>
      <c r="M38" s="14" t="n">
        <v>0</v>
      </c>
      <c r="N38" s="4" t="n">
        <v>1</v>
      </c>
      <c r="O38" s="3" t="str">
        <f aca="false">IF(AND(B38=4,M38=1),IF(N38&lt;0.8,"Subgrupo 7 dias; fronteira de cluster","Subgrupo 7 dias"),IF(N38&lt;0.8,"Fronteira de cluster",""))</f>
        <v/>
      </c>
    </row>
    <row r="39" customFormat="false" ht="15" hidden="false" customHeight="false" outlineLevel="0" collapsed="false">
      <c r="A39" s="14" t="n">
        <v>38</v>
      </c>
      <c r="B39" s="14" t="n">
        <v>0</v>
      </c>
      <c r="C39" s="14" t="s">
        <v>29</v>
      </c>
      <c r="D39" s="15" t="n">
        <v>6004.6431322208</v>
      </c>
      <c r="E39" s="16" t="n">
        <f aca="false">INDEX(Parâmetros!$C$33:$C$37,MATCH(B39,Parâmetros!$A$33:$A$37,0))</f>
        <v>5476.37033462034</v>
      </c>
      <c r="F39" s="7" t="n">
        <f aca="false">MAX(0,(E39-D39)/D39)</f>
        <v>0</v>
      </c>
      <c r="G39" s="7" t="n">
        <f aca="false">MIN(K39*Parâmetros!$B$19,Parâmetros!$B$8)</f>
        <v>0.0244038339849275</v>
      </c>
      <c r="H39" s="3" t="str">
        <f aca="false">IF(F39&gt;=Parâmetros!$B$6,"Ação","Acompanhamento")</f>
        <v>Acompanhamento</v>
      </c>
      <c r="I39" s="17" t="n">
        <v>301.841825902336</v>
      </c>
      <c r="J39" s="11" t="n">
        <f aca="false">D39*I39</f>
        <v>1812452.44692144</v>
      </c>
      <c r="K39" s="7" t="n">
        <f aca="false">Parâmetros!$B$4+Parâmetros!$B$5*F39</f>
        <v>0.02</v>
      </c>
      <c r="L39" s="11" t="n">
        <f aca="false">D39*(1+G39)</f>
        <v>6151.17944635825</v>
      </c>
      <c r="M39" s="14" t="n">
        <v>0</v>
      </c>
      <c r="N39" s="4" t="n">
        <v>1</v>
      </c>
      <c r="O39" s="3" t="str">
        <f aca="false">IF(AND(B39=4,M39=1),IF(N39&lt;0.8,"Subgrupo 7 dias; fronteira de cluster","Subgrupo 7 dias"),IF(N39&lt;0.8,"Fronteira de cluster",""))</f>
        <v/>
      </c>
    </row>
    <row r="40" customFormat="false" ht="15" hidden="false" customHeight="false" outlineLevel="0" collapsed="false">
      <c r="A40" s="14" t="n">
        <v>39</v>
      </c>
      <c r="B40" s="14" t="n">
        <v>3</v>
      </c>
      <c r="C40" s="14" t="s">
        <v>32</v>
      </c>
      <c r="D40" s="15" t="n">
        <v>4852.57124518614</v>
      </c>
      <c r="E40" s="16" t="n">
        <f aca="false">INDEX(Parâmetros!$C$33:$C$37,MATCH(B40,Parâmetros!$A$33:$A$37,0))</f>
        <v>5909.24487179487</v>
      </c>
      <c r="F40" s="7" t="n">
        <f aca="false">MAX(0,(E40-D40)/D40)</f>
        <v>0.217755407024056</v>
      </c>
      <c r="G40" s="7" t="n">
        <f aca="false">MIN(K40*Parâmetros!$B$19,Parâmetros!$B$8)</f>
        <v>0.0908296690141194</v>
      </c>
      <c r="H40" s="3" t="str">
        <f aca="false">IF(F40&gt;=Parâmetros!$B$6,"Ação","Acompanhamento")</f>
        <v>Ação</v>
      </c>
      <c r="I40" s="17" t="n">
        <v>301.841825902336</v>
      </c>
      <c r="J40" s="11" t="n">
        <f aca="false">D40*I40</f>
        <v>1464708.96496815</v>
      </c>
      <c r="K40" s="7" t="n">
        <f aca="false">Parâmetros!$B$4+Parâmetros!$B$5*F40</f>
        <v>0.0744388517560139</v>
      </c>
      <c r="L40" s="11" t="n">
        <f aca="false">D40*(1+G40)</f>
        <v>5293.32868525383</v>
      </c>
      <c r="M40" s="14" t="n">
        <v>0</v>
      </c>
      <c r="N40" s="4" t="n">
        <v>0.721518987341772</v>
      </c>
      <c r="O40" s="3" t="str">
        <f aca="false">IF(AND(B40=4,M40=1),IF(N40&lt;0.8,"Subgrupo 7 dias; fronteira de cluster","Subgrupo 7 dias"),IF(N40&lt;0.8,"Fronteira de cluster",""))</f>
        <v>Fronteira de cluster</v>
      </c>
    </row>
    <row r="41" customFormat="false" ht="15" hidden="false" customHeight="false" outlineLevel="0" collapsed="false">
      <c r="A41" s="14" t="n">
        <v>40</v>
      </c>
      <c r="B41" s="14" t="n">
        <v>0</v>
      </c>
      <c r="C41" s="14" t="s">
        <v>29</v>
      </c>
      <c r="D41" s="15" t="n">
        <v>4902.33891752577</v>
      </c>
      <c r="E41" s="16" t="n">
        <f aca="false">INDEX(Parâmetros!$C$33:$C$37,MATCH(B41,Parâmetros!$A$33:$A$37,0))</f>
        <v>5476.37033462034</v>
      </c>
      <c r="F41" s="7" t="n">
        <f aca="false">MAX(0,(E41-D41)/D41)</f>
        <v>0.117093376600792</v>
      </c>
      <c r="G41" s="7" t="n">
        <f aca="false">MIN(K41*Parâmetros!$B$19,Parâmetros!$B$8)</f>
        <v>0.0601229255261813</v>
      </c>
      <c r="H41" s="3" t="str">
        <f aca="false">IF(F41&gt;=Parâmetros!$B$6,"Ação","Acompanhamento")</f>
        <v>Ação</v>
      </c>
      <c r="I41" s="17" t="n">
        <v>300.67940552017</v>
      </c>
      <c r="J41" s="11" t="n">
        <f aca="false">D41*I41</f>
        <v>1474032.35138004</v>
      </c>
      <c r="K41" s="7" t="n">
        <f aca="false">Parâmetros!$B$4+Parâmetros!$B$5*F41</f>
        <v>0.0492733441501979</v>
      </c>
      <c r="L41" s="11" t="n">
        <f aca="false">D41*(1+G41)</f>
        <v>5197.08187516828</v>
      </c>
      <c r="M41" s="14" t="n">
        <v>0</v>
      </c>
      <c r="N41" s="4" t="n">
        <v>0.792207792207792</v>
      </c>
      <c r="O41" s="3" t="str">
        <f aca="false">IF(AND(B41=4,M41=1),IF(N41&lt;0.8,"Subgrupo 7 dias; fronteira de cluster","Subgrupo 7 dias"),IF(N41&lt;0.8,"Fronteira de cluster",""))</f>
        <v>Fronteira de cluster</v>
      </c>
    </row>
    <row r="42" customFormat="false" ht="15" hidden="false" customHeight="false" outlineLevel="0" collapsed="false">
      <c r="A42" s="14" t="n">
        <v>41</v>
      </c>
      <c r="B42" s="14" t="n">
        <v>1</v>
      </c>
      <c r="C42" s="14" t="s">
        <v>30</v>
      </c>
      <c r="D42" s="15" t="n">
        <v>5335.05948553055</v>
      </c>
      <c r="E42" s="16" t="n">
        <f aca="false">INDEX(Parâmetros!$C$33:$C$37,MATCH(B42,Parâmetros!$A$33:$A$37,0))</f>
        <v>6959.92435130262</v>
      </c>
      <c r="F42" s="7" t="n">
        <f aca="false">MAX(0,(E42-D42)/D42)</f>
        <v>0.304563589249369</v>
      </c>
      <c r="G42" s="7" t="n">
        <f aca="false">MIN(K42*Parâmetros!$B$19,Parâmetros!$B$8)</f>
        <v>0.117310324858618</v>
      </c>
      <c r="H42" s="3" t="str">
        <f aca="false">IF(F42&gt;=Parâmetros!$B$6,"Ação","Acompanhamento")</f>
        <v>Ação</v>
      </c>
      <c r="I42" s="17" t="n">
        <v>299.511873350924</v>
      </c>
      <c r="J42" s="11" t="n">
        <f aca="false">D42*I42</f>
        <v>1597913.66094987</v>
      </c>
      <c r="K42" s="7" t="n">
        <f aca="false">Parâmetros!$B$4+Parâmetros!$B$5*F42</f>
        <v>0.0961408973123423</v>
      </c>
      <c r="L42" s="11" t="n">
        <f aca="false">D42*(1+G42)</f>
        <v>5960.91704691819</v>
      </c>
      <c r="M42" s="14" t="n">
        <v>0</v>
      </c>
      <c r="N42" s="4" t="n">
        <v>0.903614457831325</v>
      </c>
      <c r="O42" s="3" t="str">
        <f aca="false">IF(AND(B42=4,M42=1),IF(N42&lt;0.8,"Subgrupo 7 dias; fronteira de cluster","Subgrupo 7 dias"),IF(N42&lt;0.8,"Fronteira de cluster",""))</f>
        <v/>
      </c>
    </row>
    <row r="43" customFormat="false" ht="15" hidden="false" customHeight="false" outlineLevel="0" collapsed="false">
      <c r="A43" s="14" t="n">
        <v>42</v>
      </c>
      <c r="B43" s="14" t="n">
        <v>4</v>
      </c>
      <c r="C43" s="14" t="s">
        <v>33</v>
      </c>
      <c r="D43" s="15" t="n">
        <v>10178.136071887</v>
      </c>
      <c r="E43" s="16" t="n">
        <f aca="false">INDEX(Parâmetros!$C$33:$C$37,MATCH(B43,Parâmetros!$A$33:$A$37,0))</f>
        <v>8837.10512820513</v>
      </c>
      <c r="F43" s="7" t="n">
        <f aca="false">MAX(0,(E43-D43)/D43)</f>
        <v>0</v>
      </c>
      <c r="G43" s="7" t="n">
        <f aca="false">MIN(K43*Parâmetros!$B$19,Parâmetros!$B$8)</f>
        <v>0.0244038339849275</v>
      </c>
      <c r="H43" s="3" t="str">
        <f aca="false">IF(F43&gt;=Parâmetros!$B$6,"Ação","Acompanhamento")</f>
        <v>Acompanhamento</v>
      </c>
      <c r="I43" s="17" t="n">
        <v>301.841825902336</v>
      </c>
      <c r="J43" s="11" t="n">
        <f aca="false">D43*I43</f>
        <v>3072187.17622081</v>
      </c>
      <c r="K43" s="7" t="n">
        <f aca="false">Parâmetros!$B$4+Parâmetros!$B$5*F43</f>
        <v>0.02</v>
      </c>
      <c r="L43" s="11" t="n">
        <f aca="false">D43*(1+G43)</f>
        <v>10426.5216148614</v>
      </c>
      <c r="M43" s="14" t="n">
        <v>0</v>
      </c>
      <c r="N43" s="4" t="n">
        <v>0.98780487804878</v>
      </c>
      <c r="O43" s="3" t="str">
        <f aca="false">IF(AND(B43=4,M43=1),IF(N43&lt;0.8,"Subgrupo 7 dias; fronteira de cluster","Subgrupo 7 dias"),IF(N43&lt;0.8,"Fronteira de cluster",""))</f>
        <v/>
      </c>
    </row>
    <row r="44" customFormat="false" ht="15" hidden="false" customHeight="false" outlineLevel="0" collapsed="false">
      <c r="A44" s="14" t="n">
        <v>43</v>
      </c>
      <c r="B44" s="14" t="n">
        <v>1</v>
      </c>
      <c r="C44" s="14" t="s">
        <v>30</v>
      </c>
      <c r="D44" s="15" t="n">
        <v>6822.91399229782</v>
      </c>
      <c r="E44" s="16" t="n">
        <f aca="false">INDEX(Parâmetros!$C$33:$C$37,MATCH(B44,Parâmetros!$A$33:$A$37,0))</f>
        <v>6959.92435130262</v>
      </c>
      <c r="F44" s="7" t="n">
        <f aca="false">MAX(0,(E44-D44)/D44)</f>
        <v>0.0200809154504178</v>
      </c>
      <c r="G44" s="7" t="n">
        <f aca="false">MIN(K44*Parâmetros!$B$19,Parâmetros!$B$8)</f>
        <v>0.0305294755713944</v>
      </c>
      <c r="H44" s="3" t="str">
        <f aca="false">IF(F44&gt;=Parâmetros!$B$6,"Ação","Acompanhamento")</f>
        <v>Acompanhamento</v>
      </c>
      <c r="I44" s="17" t="n">
        <v>301.841825902336</v>
      </c>
      <c r="J44" s="11" t="n">
        <f aca="false">D44*I44</f>
        <v>2059440.81740977</v>
      </c>
      <c r="K44" s="7" t="n">
        <f aca="false">Parâmetros!$B$4+Parâmetros!$B$5*F44</f>
        <v>0.0250202288626044</v>
      </c>
      <c r="L44" s="11" t="n">
        <f aca="false">D44*(1+G44)</f>
        <v>7031.2139783514</v>
      </c>
      <c r="M44" s="14" t="n">
        <v>0</v>
      </c>
      <c r="N44" s="4" t="n">
        <v>1</v>
      </c>
      <c r="O44" s="3" t="str">
        <f aca="false">IF(AND(B44=4,M44=1),IF(N44&lt;0.8,"Subgrupo 7 dias; fronteira de cluster","Subgrupo 7 dias"),IF(N44&lt;0.8,"Fronteira de cluster",""))</f>
        <v/>
      </c>
    </row>
    <row r="45" customFormat="false" ht="15" hidden="false" customHeight="false" outlineLevel="0" collapsed="false">
      <c r="A45" s="14" t="n">
        <v>44</v>
      </c>
      <c r="B45" s="14" t="n">
        <v>0</v>
      </c>
      <c r="C45" s="14" t="s">
        <v>29</v>
      </c>
      <c r="D45" s="15" t="n">
        <v>5478.5</v>
      </c>
      <c r="E45" s="16" t="n">
        <f aca="false">INDEX(Parâmetros!$C$33:$C$37,MATCH(B45,Parâmetros!$A$33:$A$37,0))</f>
        <v>5476.37033462034</v>
      </c>
      <c r="F45" s="7" t="n">
        <f aca="false">MAX(0,(E45-D45)/D45)</f>
        <v>0</v>
      </c>
      <c r="G45" s="7" t="n">
        <f aca="false">MIN(K45*Parâmetros!$B$19,Parâmetros!$B$8)</f>
        <v>0.0244038339849275</v>
      </c>
      <c r="H45" s="3" t="str">
        <f aca="false">IF(F45&gt;=Parâmetros!$B$6,"Ação","Acompanhamento")</f>
        <v>Acompanhamento</v>
      </c>
      <c r="I45" s="17" t="n">
        <v>303.779193205945</v>
      </c>
      <c r="J45" s="11" t="n">
        <f aca="false">D45*I45</f>
        <v>1664254.30997877</v>
      </c>
      <c r="K45" s="7" t="n">
        <f aca="false">Parâmetros!$B$4+Parâmetros!$B$5*F45</f>
        <v>0.02</v>
      </c>
      <c r="L45" s="11" t="n">
        <f aca="false">D45*(1+G45)</f>
        <v>5612.19640448643</v>
      </c>
      <c r="M45" s="14" t="n">
        <v>0</v>
      </c>
      <c r="N45" s="4" t="n">
        <v>1</v>
      </c>
      <c r="O45" s="3" t="str">
        <f aca="false">IF(AND(B45=4,M45=1),IF(N45&lt;0.8,"Subgrupo 7 dias; fronteira de cluster","Subgrupo 7 dias"),IF(N45&lt;0.8,"Fronteira de cluster",""))</f>
        <v/>
      </c>
    </row>
    <row r="46" customFormat="false" ht="15" hidden="false" customHeight="false" outlineLevel="0" collapsed="false">
      <c r="A46" s="14" t="n">
        <v>45</v>
      </c>
      <c r="B46" s="14" t="n">
        <v>1</v>
      </c>
      <c r="C46" s="14" t="s">
        <v>30</v>
      </c>
      <c r="D46" s="15" t="n">
        <v>5348.46983311938</v>
      </c>
      <c r="E46" s="16" t="n">
        <f aca="false">INDEX(Parâmetros!$C$33:$C$37,MATCH(B46,Parâmetros!$A$33:$A$37,0))</f>
        <v>6959.92435130262</v>
      </c>
      <c r="F46" s="7" t="n">
        <f aca="false">MAX(0,(E46-D46)/D46)</f>
        <v>0.301292625454221</v>
      </c>
      <c r="G46" s="7" t="n">
        <f aca="false">MIN(K46*Parâmetros!$B$19,Parâmetros!$B$8)</f>
        <v>0.116312524140774</v>
      </c>
      <c r="H46" s="3" t="str">
        <f aca="false">IF(F46&gt;=Parâmetros!$B$6,"Ação","Acompanhamento")</f>
        <v>Ação</v>
      </c>
      <c r="I46" s="17" t="n">
        <v>301.841825902336</v>
      </c>
      <c r="J46" s="11" t="n">
        <f aca="false">D46*I46</f>
        <v>1614391.90021231</v>
      </c>
      <c r="K46" s="7" t="n">
        <f aca="false">Parâmetros!$B$4+Parâmetros!$B$5*F46</f>
        <v>0.0953231563635552</v>
      </c>
      <c r="L46" s="11" t="n">
        <f aca="false">D46*(1+G46)</f>
        <v>5970.56385970028</v>
      </c>
      <c r="M46" s="14" t="n">
        <v>0</v>
      </c>
      <c r="N46" s="4" t="n">
        <v>1</v>
      </c>
      <c r="O46" s="3" t="str">
        <f aca="false">IF(AND(B46=4,M46=1),IF(N46&lt;0.8,"Subgrupo 7 dias; fronteira de cluster","Subgrupo 7 dias"),IF(N46&lt;0.8,"Fronteira de cluster",""))</f>
        <v/>
      </c>
    </row>
    <row r="47" customFormat="false" ht="15" hidden="false" customHeight="false" outlineLevel="0" collapsed="false">
      <c r="A47" s="14" t="n">
        <v>46</v>
      </c>
      <c r="B47" s="14" t="n">
        <v>0</v>
      </c>
      <c r="C47" s="14" t="s">
        <v>29</v>
      </c>
      <c r="D47" s="15" t="n">
        <v>5352.29099678457</v>
      </c>
      <c r="E47" s="16" t="n">
        <f aca="false">INDEX(Parâmetros!$C$33:$C$37,MATCH(B47,Parâmetros!$A$33:$A$37,0))</f>
        <v>5476.37033462034</v>
      </c>
      <c r="F47" s="7" t="n">
        <f aca="false">MAX(0,(E47-D47)/D47)</f>
        <v>0.0231824723114476</v>
      </c>
      <c r="G47" s="7" t="n">
        <f aca="false">MIN(K47*Parâmetros!$B$19,Parâmetros!$B$8)</f>
        <v>0.0314755990555368</v>
      </c>
      <c r="H47" s="3" t="str">
        <f aca="false">IF(F47&gt;=Parâmetros!$B$6,"Ação","Acompanhamento")</f>
        <v>Acompanhamento</v>
      </c>
      <c r="I47" s="17" t="n">
        <v>299.511873350924</v>
      </c>
      <c r="J47" s="11" t="n">
        <f aca="false">D47*I47</f>
        <v>1603074.70316623</v>
      </c>
      <c r="K47" s="7" t="n">
        <f aca="false">Parâmetros!$B$4+Parâmetros!$B$5*F47</f>
        <v>0.0257956180778619</v>
      </c>
      <c r="L47" s="11" t="n">
        <f aca="false">D47*(1+G47)</f>
        <v>5520.75756222792</v>
      </c>
      <c r="M47" s="14" t="n">
        <v>0</v>
      </c>
      <c r="N47" s="4" t="n">
        <v>1</v>
      </c>
      <c r="O47" s="3" t="str">
        <f aca="false">IF(AND(B47=4,M47=1),IF(N47&lt;0.8,"Subgrupo 7 dias; fronteira de cluster","Subgrupo 7 dias"),IF(N47&lt;0.8,"Fronteira de cluster",""))</f>
        <v/>
      </c>
    </row>
    <row r="48" customFormat="false" ht="15" hidden="false" customHeight="false" outlineLevel="0" collapsed="false">
      <c r="A48" s="14" t="n">
        <v>47</v>
      </c>
      <c r="B48" s="14" t="n">
        <v>0</v>
      </c>
      <c r="C48" s="14" t="s">
        <v>29</v>
      </c>
      <c r="D48" s="15" t="n">
        <v>7145.10204081633</v>
      </c>
      <c r="E48" s="16" t="n">
        <f aca="false">INDEX(Parâmetros!$C$33:$C$37,MATCH(B48,Parâmetros!$A$33:$A$37,0))</f>
        <v>5476.37033462034</v>
      </c>
      <c r="F48" s="7" t="n">
        <f aca="false">MAX(0,(E48-D48)/D48)</f>
        <v>0</v>
      </c>
      <c r="G48" s="7" t="n">
        <f aca="false">MIN(K48*Parâmetros!$B$19,Parâmetros!$B$8)</f>
        <v>0.0244038339849275</v>
      </c>
      <c r="H48" s="3" t="str">
        <f aca="false">IF(F48&gt;=Parâmetros!$B$6,"Ação","Acompanhamento")</f>
        <v>Acompanhamento</v>
      </c>
      <c r="I48" s="17" t="n">
        <v>303.779193205945</v>
      </c>
      <c r="J48" s="11" t="n">
        <f aca="false">D48*I48</f>
        <v>2170533.33333333</v>
      </c>
      <c r="K48" s="7" t="n">
        <f aca="false">Parâmetros!$B$4+Parâmetros!$B$5*F48</f>
        <v>0.02</v>
      </c>
      <c r="L48" s="11" t="n">
        <f aca="false">D48*(1+G48)</f>
        <v>7319.46992482578</v>
      </c>
      <c r="M48" s="14" t="n">
        <v>0</v>
      </c>
      <c r="N48" s="4" t="n">
        <v>0.782051282051282</v>
      </c>
      <c r="O48" s="3" t="str">
        <f aca="false">IF(AND(B48=4,M48=1),IF(N48&lt;0.8,"Subgrupo 7 dias; fronteira de cluster","Subgrupo 7 dias"),IF(N48&lt;0.8,"Fronteira de cluster",""))</f>
        <v>Fronteira de cluster</v>
      </c>
    </row>
    <row r="49" customFormat="false" ht="15" hidden="false" customHeight="false" outlineLevel="0" collapsed="false">
      <c r="A49" s="14" t="n">
        <v>48</v>
      </c>
      <c r="B49" s="14" t="n">
        <v>0</v>
      </c>
      <c r="C49" s="14" t="s">
        <v>29</v>
      </c>
      <c r="D49" s="15" t="n">
        <v>3934.96683673469</v>
      </c>
      <c r="E49" s="16" t="n">
        <f aca="false">INDEX(Parâmetros!$C$33:$C$37,MATCH(B49,Parâmetros!$A$33:$A$37,0))</f>
        <v>5476.37033462034</v>
      </c>
      <c r="F49" s="7" t="n">
        <f aca="false">MAX(0,(E49-D49)/D49)</f>
        <v>0.391719565078908</v>
      </c>
      <c r="G49" s="7" t="n">
        <f aca="false">MIN(K49*Parâmetros!$B$19,Parâmetros!$B$8)</f>
        <v>0.143897074420348</v>
      </c>
      <c r="H49" s="3" t="str">
        <f aca="false">IF(F49&gt;=Parâmetros!$B$6,"Ação","Acompanhamento")</f>
        <v>Ação</v>
      </c>
      <c r="I49" s="17" t="n">
        <v>303.779193205945</v>
      </c>
      <c r="J49" s="11" t="n">
        <f aca="false">D49*I49</f>
        <v>1195361.05095541</v>
      </c>
      <c r="K49" s="7" t="n">
        <f aca="false">Parâmetros!$B$4+Parâmetros!$B$5*F49</f>
        <v>0.117929891269727</v>
      </c>
      <c r="L49" s="11" t="n">
        <f aca="false">D49*(1+G49)</f>
        <v>4501.19705248191</v>
      </c>
      <c r="M49" s="14" t="n">
        <v>0</v>
      </c>
      <c r="N49" s="4" t="n">
        <v>1</v>
      </c>
      <c r="O49" s="3" t="str">
        <f aca="false">IF(AND(B49=4,M49=1),IF(N49&lt;0.8,"Subgrupo 7 dias; fronteira de cluster","Subgrupo 7 dias"),IF(N49&lt;0.8,"Fronteira de cluster",""))</f>
        <v/>
      </c>
    </row>
    <row r="50" customFormat="false" ht="15" hidden="false" customHeight="false" outlineLevel="0" collapsed="false">
      <c r="A50" s="14" t="n">
        <v>49</v>
      </c>
      <c r="B50" s="14" t="n">
        <v>1</v>
      </c>
      <c r="C50" s="14" t="s">
        <v>30</v>
      </c>
      <c r="D50" s="15" t="n">
        <v>7304.11325611326</v>
      </c>
      <c r="E50" s="16" t="n">
        <f aca="false">INDEX(Parâmetros!$C$33:$C$37,MATCH(B50,Parâmetros!$A$33:$A$37,0))</f>
        <v>6959.92435130262</v>
      </c>
      <c r="F50" s="7" t="n">
        <f aca="false">MAX(0,(E50-D50)/D50)</f>
        <v>0</v>
      </c>
      <c r="G50" s="7" t="n">
        <f aca="false">MIN(K50*Parâmetros!$B$19,Parâmetros!$B$8)</f>
        <v>0.0244038339849275</v>
      </c>
      <c r="H50" s="3" t="str">
        <f aca="false">IF(F50&gt;=Parâmetros!$B$6,"Ação","Acompanhamento")</f>
        <v>Acompanhamento</v>
      </c>
      <c r="I50" s="17" t="n">
        <v>301.066878980892</v>
      </c>
      <c r="J50" s="11" t="n">
        <f aca="false">D50*I50</f>
        <v>2199026.58174098</v>
      </c>
      <c r="K50" s="7" t="n">
        <f aca="false">Parâmetros!$B$4+Parâmetros!$B$5*F50</f>
        <v>0.02</v>
      </c>
      <c r="L50" s="11" t="n">
        <f aca="false">D50*(1+G50)</f>
        <v>7482.36162342255</v>
      </c>
      <c r="M50" s="14" t="n">
        <v>0</v>
      </c>
      <c r="N50" s="4" t="n">
        <v>1</v>
      </c>
      <c r="O50" s="3" t="str">
        <f aca="false">IF(AND(B50=4,M50=1),IF(N50&lt;0.8,"Subgrupo 7 dias; fronteira de cluster","Subgrupo 7 dias"),IF(N50&lt;0.8,"Fronteira de cluster",""))</f>
        <v/>
      </c>
    </row>
    <row r="51" customFormat="false" ht="15" hidden="false" customHeight="false" outlineLevel="0" collapsed="false">
      <c r="A51" s="14" t="n">
        <v>50</v>
      </c>
      <c r="B51" s="14" t="n">
        <v>1</v>
      </c>
      <c r="C51" s="14" t="s">
        <v>30</v>
      </c>
      <c r="D51" s="15" t="n">
        <v>4256.07060333761</v>
      </c>
      <c r="E51" s="16" t="n">
        <f aca="false">INDEX(Parâmetros!$C$33:$C$37,MATCH(B51,Parâmetros!$A$33:$A$37,0))</f>
        <v>6959.92435130262</v>
      </c>
      <c r="F51" s="7" t="n">
        <f aca="false">MAX(0,(E51-D51)/D51)</f>
        <v>0.635293443169069</v>
      </c>
      <c r="G51" s="7" t="n">
        <f aca="false">MIN(K51*Parâmetros!$B$19,Parâmetros!$B$8)</f>
        <v>0.2</v>
      </c>
      <c r="H51" s="3" t="str">
        <f aca="false">IF(F51&gt;=Parâmetros!$B$6,"Ação","Acompanhamento")</f>
        <v>Ação</v>
      </c>
      <c r="I51" s="17" t="n">
        <v>301.841825902336</v>
      </c>
      <c r="J51" s="11" t="n">
        <f aca="false">D51*I51</f>
        <v>1284660.12208068</v>
      </c>
      <c r="K51" s="7" t="n">
        <f aca="false">Parâmetros!$B$4+Parâmetros!$B$5*F51</f>
        <v>0.178823360792267</v>
      </c>
      <c r="L51" s="11" t="n">
        <f aca="false">D51*(1+G51)</f>
        <v>5107.28472400514</v>
      </c>
      <c r="M51" s="14" t="n">
        <v>0</v>
      </c>
      <c r="N51" s="4" t="n">
        <v>1</v>
      </c>
      <c r="O51" s="3" t="str">
        <f aca="false">IF(AND(B51=4,M51=1),IF(N51&lt;0.8,"Subgrupo 7 dias; fronteira de cluster","Subgrupo 7 dias"),IF(N51&lt;0.8,"Fronteira de cluster",""))</f>
        <v/>
      </c>
    </row>
    <row r="52" customFormat="false" ht="15" hidden="false" customHeight="false" outlineLevel="0" collapsed="false">
      <c r="A52" s="14" t="n">
        <v>51</v>
      </c>
      <c r="B52" s="14" t="n">
        <v>1</v>
      </c>
      <c r="C52" s="14" t="s">
        <v>30</v>
      </c>
      <c r="D52" s="15" t="n">
        <v>6675.28617363344</v>
      </c>
      <c r="E52" s="16" t="n">
        <f aca="false">INDEX(Parâmetros!$C$33:$C$37,MATCH(B52,Parâmetros!$A$33:$A$37,0))</f>
        <v>6959.92435130262</v>
      </c>
      <c r="F52" s="7" t="n">
        <f aca="false">MAX(0,(E52-D52)/D52)</f>
        <v>0.0426405955138622</v>
      </c>
      <c r="G52" s="7" t="n">
        <f aca="false">MIN(K52*Parâmetros!$B$19,Parâmetros!$B$8)</f>
        <v>0.0374112591591616</v>
      </c>
      <c r="H52" s="3" t="str">
        <f aca="false">IF(F52&gt;=Parâmetros!$B$6,"Ação","Acompanhamento")</f>
        <v>Acompanhamento</v>
      </c>
      <c r="I52" s="17" t="n">
        <v>299.511873350924</v>
      </c>
      <c r="J52" s="11" t="n">
        <f aca="false">D52*I52</f>
        <v>1999327.46701847</v>
      </c>
      <c r="K52" s="7" t="n">
        <f aca="false">Parâmetros!$B$4+Parâmetros!$B$5*F52</f>
        <v>0.0306601488784656</v>
      </c>
      <c r="L52" s="11" t="n">
        <f aca="false">D52*(1+G52)</f>
        <v>6925.01703463681</v>
      </c>
      <c r="M52" s="14" t="n">
        <v>0</v>
      </c>
      <c r="N52" s="4" t="n">
        <v>1</v>
      </c>
      <c r="O52" s="3" t="str">
        <f aca="false">IF(AND(B52=4,M52=1),IF(N52&lt;0.8,"Subgrupo 7 dias; fronteira de cluster","Subgrupo 7 dias"),IF(N52&lt;0.8,"Fronteira de cluster",""))</f>
        <v/>
      </c>
    </row>
    <row r="53" customFormat="false" ht="15" hidden="false" customHeight="false" outlineLevel="0" collapsed="false">
      <c r="A53" s="14" t="n">
        <v>52</v>
      </c>
      <c r="B53" s="14" t="n">
        <v>1</v>
      </c>
      <c r="C53" s="14" t="s">
        <v>30</v>
      </c>
      <c r="D53" s="15" t="n">
        <v>7407.94533762058</v>
      </c>
      <c r="E53" s="16" t="n">
        <f aca="false">INDEX(Parâmetros!$C$33:$C$37,MATCH(B53,Parâmetros!$A$33:$A$37,0))</f>
        <v>6959.92435130262</v>
      </c>
      <c r="F53" s="7" t="n">
        <f aca="false">MAX(0,(E53-D53)/D53)</f>
        <v>0</v>
      </c>
      <c r="G53" s="7" t="n">
        <f aca="false">MIN(K53*Parâmetros!$B$19,Parâmetros!$B$8)</f>
        <v>0.0244038339849275</v>
      </c>
      <c r="H53" s="3" t="str">
        <f aca="false">IF(F53&gt;=Parâmetros!$B$6,"Ação","Acompanhamento")</f>
        <v>Acompanhamento</v>
      </c>
      <c r="I53" s="17" t="n">
        <v>299.511873350924</v>
      </c>
      <c r="J53" s="11" t="n">
        <f aca="false">D53*I53</f>
        <v>2218767.58575198</v>
      </c>
      <c r="K53" s="7" t="n">
        <f aca="false">Parâmetros!$B$4+Parâmetros!$B$5*F53</f>
        <v>0.02</v>
      </c>
      <c r="L53" s="11" t="n">
        <f aca="false">D53*(1+G53)</f>
        <v>7588.72760580929</v>
      </c>
      <c r="M53" s="14" t="n">
        <v>0</v>
      </c>
      <c r="N53" s="4" t="n">
        <v>1</v>
      </c>
      <c r="O53" s="3" t="str">
        <f aca="false">IF(AND(B53=4,M53=1),IF(N53&lt;0.8,"Subgrupo 7 dias; fronteira de cluster","Subgrupo 7 dias"),IF(N53&lt;0.8,"Fronteira de cluster",""))</f>
        <v/>
      </c>
    </row>
    <row r="54" customFormat="false" ht="15" hidden="false" customHeight="false" outlineLevel="0" collapsed="false">
      <c r="A54" s="14" t="n">
        <v>53</v>
      </c>
      <c r="B54" s="14" t="n">
        <v>1</v>
      </c>
      <c r="C54" s="14" t="s">
        <v>30</v>
      </c>
      <c r="D54" s="15" t="n">
        <v>5264.80739795918</v>
      </c>
      <c r="E54" s="16" t="n">
        <f aca="false">INDEX(Parâmetros!$C$33:$C$37,MATCH(B54,Parâmetros!$A$33:$A$37,0))</f>
        <v>6959.92435130262</v>
      </c>
      <c r="F54" s="7" t="n">
        <f aca="false">MAX(0,(E54-D54)/D54)</f>
        <v>0.321971313518615</v>
      </c>
      <c r="G54" s="7" t="n">
        <f aca="false">MIN(K54*Parâmetros!$B$19,Parâmetros!$B$8)</f>
        <v>0.122620515022644</v>
      </c>
      <c r="H54" s="3" t="str">
        <f aca="false">IF(F54&gt;=Parâmetros!$B$6,"Ação","Acompanhamento")</f>
        <v>Ação</v>
      </c>
      <c r="I54" s="17" t="n">
        <v>303.779193205945</v>
      </c>
      <c r="J54" s="11" t="n">
        <f aca="false">D54*I54</f>
        <v>1599338.94373673</v>
      </c>
      <c r="K54" s="7" t="n">
        <f aca="false">Parâmetros!$B$4+Parâmetros!$B$5*F54</f>
        <v>0.100492828379654</v>
      </c>
      <c r="L54" s="11" t="n">
        <f aca="false">D54*(1+G54)</f>
        <v>5910.38079259196</v>
      </c>
      <c r="M54" s="14" t="n">
        <v>0</v>
      </c>
      <c r="N54" s="4" t="n">
        <v>0.837209302325581</v>
      </c>
      <c r="O54" s="3" t="str">
        <f aca="false">IF(AND(B54=4,M54=1),IF(N54&lt;0.8,"Subgrupo 7 dias; fronteira de cluster","Subgrupo 7 dias"),IF(N54&lt;0.8,"Fronteira de cluster",""))</f>
        <v/>
      </c>
    </row>
    <row r="55" customFormat="false" ht="15" hidden="false" customHeight="false" outlineLevel="0" collapsed="false">
      <c r="A55" s="14" t="n">
        <v>54</v>
      </c>
      <c r="B55" s="14" t="n">
        <v>1</v>
      </c>
      <c r="C55" s="14" t="s">
        <v>30</v>
      </c>
      <c r="D55" s="15" t="n">
        <v>7907.53885350318</v>
      </c>
      <c r="E55" s="16" t="n">
        <f aca="false">INDEX(Parâmetros!$C$33:$C$37,MATCH(B55,Parâmetros!$A$33:$A$37,0))</f>
        <v>6959.92435130262</v>
      </c>
      <c r="F55" s="7" t="n">
        <f aca="false">MAX(0,(E55-D55)/D55)</f>
        <v>0</v>
      </c>
      <c r="G55" s="7" t="n">
        <f aca="false">MIN(K55*Parâmetros!$B$19,Parâmetros!$B$8)</f>
        <v>0.0244038339849275</v>
      </c>
      <c r="H55" s="3" t="str">
        <f aca="false">IF(F55&gt;=Parâmetros!$B$6,"Ação","Acompanhamento")</f>
        <v>Acompanhamento</v>
      </c>
      <c r="I55" s="17" t="n">
        <v>304.166666666667</v>
      </c>
      <c r="J55" s="11" t="n">
        <f aca="false">D55*I55</f>
        <v>2405209.73460722</v>
      </c>
      <c r="K55" s="7" t="n">
        <f aca="false">Parâmetros!$B$4+Parâmetros!$B$5*F55</f>
        <v>0.02</v>
      </c>
      <c r="L55" s="11" t="n">
        <f aca="false">D55*(1+G55)</f>
        <v>8100.51311891344</v>
      </c>
      <c r="M55" s="14" t="n">
        <v>0</v>
      </c>
      <c r="N55" s="4" t="n">
        <v>1</v>
      </c>
      <c r="O55" s="3" t="str">
        <f aca="false">IF(AND(B55=4,M55=1),IF(N55&lt;0.8,"Subgrupo 7 dias; fronteira de cluster","Subgrupo 7 dias"),IF(N55&lt;0.8,"Fronteira de cluster",""))</f>
        <v/>
      </c>
    </row>
    <row r="56" customFormat="false" ht="15" hidden="false" customHeight="false" outlineLevel="0" collapsed="false">
      <c r="A56" s="14" t="n">
        <v>55</v>
      </c>
      <c r="B56" s="14" t="n">
        <v>2</v>
      </c>
      <c r="C56" s="14" t="s">
        <v>31</v>
      </c>
      <c r="D56" s="15" t="n">
        <v>4598.98974358974</v>
      </c>
      <c r="E56" s="16" t="n">
        <f aca="false">INDEX(Parâmetros!$C$33:$C$37,MATCH(B56,Parâmetros!$A$33:$A$37,0))</f>
        <v>6324.80102695764</v>
      </c>
      <c r="F56" s="7" t="n">
        <f aca="false">MAX(0,(E56-D56)/D56)</f>
        <v>0.375258780642727</v>
      </c>
      <c r="G56" s="7" t="n">
        <f aca="false">MIN(K56*Parâmetros!$B$19,Parâmetros!$B$8)</f>
        <v>0.13887574628732</v>
      </c>
      <c r="H56" s="3" t="str">
        <f aca="false">IF(F56&gt;=Parâmetros!$B$6,"Ação","Acompanhamento")</f>
        <v>Ação</v>
      </c>
      <c r="I56" s="17" t="n">
        <v>302.229299363057</v>
      </c>
      <c r="J56" s="11" t="n">
        <f aca="false">D56*I56</f>
        <v>1389949.44798301</v>
      </c>
      <c r="K56" s="7" t="n">
        <f aca="false">Parâmetros!$B$4+Parâmetros!$B$5*F56</f>
        <v>0.113814695160682</v>
      </c>
      <c r="L56" s="11" t="n">
        <f aca="false">D56*(1+G56)</f>
        <v>5237.6778763985</v>
      </c>
      <c r="M56" s="14" t="n">
        <v>0</v>
      </c>
      <c r="N56" s="4" t="n">
        <v>0.9625</v>
      </c>
      <c r="O56" s="3" t="str">
        <f aca="false">IF(AND(B56=4,M56=1),IF(N56&lt;0.8,"Subgrupo 7 dias; fronteira de cluster","Subgrupo 7 dias"),IF(N56&lt;0.8,"Fronteira de cluster",""))</f>
        <v/>
      </c>
    </row>
    <row r="57" customFormat="false" ht="15" hidden="false" customHeight="false" outlineLevel="0" collapsed="false">
      <c r="A57" s="14" t="n">
        <v>56</v>
      </c>
      <c r="B57" s="14" t="n">
        <v>1</v>
      </c>
      <c r="C57" s="14" t="s">
        <v>30</v>
      </c>
      <c r="D57" s="15" t="n">
        <v>7321.75416133163</v>
      </c>
      <c r="E57" s="16" t="n">
        <f aca="false">INDEX(Parâmetros!$C$33:$C$37,MATCH(B57,Parâmetros!$A$33:$A$37,0))</f>
        <v>6959.92435130262</v>
      </c>
      <c r="F57" s="7" t="n">
        <f aca="false">MAX(0,(E57-D57)/D57)</f>
        <v>0</v>
      </c>
      <c r="G57" s="7" t="n">
        <f aca="false">MIN(K57*Parâmetros!$B$19,Parâmetros!$B$8)</f>
        <v>0.0244038339849275</v>
      </c>
      <c r="H57" s="3" t="str">
        <f aca="false">IF(F57&gt;=Parâmetros!$B$6,"Ação","Acompanhamento")</f>
        <v>Acompanhamento</v>
      </c>
      <c r="I57" s="17" t="n">
        <v>302.616772823779</v>
      </c>
      <c r="J57" s="11" t="n">
        <f aca="false">D57*I57</f>
        <v>2215685.61571125</v>
      </c>
      <c r="K57" s="7" t="n">
        <f aca="false">Parâmetros!$B$4+Parâmetros!$B$5*F57</f>
        <v>0.02</v>
      </c>
      <c r="L57" s="11" t="n">
        <f aca="false">D57*(1+G57)</f>
        <v>7500.43303436322</v>
      </c>
      <c r="M57" s="14" t="n">
        <v>0</v>
      </c>
      <c r="N57" s="4" t="n">
        <v>1</v>
      </c>
      <c r="O57" s="3" t="str">
        <f aca="false">IF(AND(B57=4,M57=1),IF(N57&lt;0.8,"Subgrupo 7 dias; fronteira de cluster","Subgrupo 7 dias"),IF(N57&lt;0.8,"Fronteira de cluster",""))</f>
        <v/>
      </c>
    </row>
    <row r="58" customFormat="false" ht="15" hidden="false" customHeight="false" outlineLevel="0" collapsed="false">
      <c r="A58" s="14" t="n">
        <v>57</v>
      </c>
      <c r="B58" s="14" t="n">
        <v>3</v>
      </c>
      <c r="C58" s="14" t="s">
        <v>32</v>
      </c>
      <c r="D58" s="15" t="n">
        <v>10605.5045513654</v>
      </c>
      <c r="E58" s="16" t="n">
        <f aca="false">INDEX(Parâmetros!$C$33:$C$37,MATCH(B58,Parâmetros!$A$33:$A$37,0))</f>
        <v>5909.24487179487</v>
      </c>
      <c r="F58" s="7" t="n">
        <f aca="false">MAX(0,(E58-D58)/D58)</f>
        <v>0</v>
      </c>
      <c r="G58" s="7" t="n">
        <f aca="false">MIN(K58*Parâmetros!$B$19,Parâmetros!$B$8)</f>
        <v>0.0244038339849275</v>
      </c>
      <c r="H58" s="3" t="str">
        <f aca="false">IF(F58&gt;=Parâmetros!$B$6,"Ação","Acompanhamento")</f>
        <v>Acompanhamento</v>
      </c>
      <c r="I58" s="17" t="n">
        <v>298.354564755839</v>
      </c>
      <c r="J58" s="11" t="n">
        <f aca="false">D58*I58</f>
        <v>3164200.69443869</v>
      </c>
      <c r="K58" s="7" t="n">
        <f aca="false">Parâmetros!$B$4+Parâmetros!$B$5*F58</f>
        <v>0.02</v>
      </c>
      <c r="L58" s="11" t="n">
        <f aca="false">D58*(1+G58)</f>
        <v>10864.3195237633</v>
      </c>
      <c r="M58" s="14" t="n">
        <v>0</v>
      </c>
      <c r="N58" s="4" t="n">
        <v>0.779220779220779</v>
      </c>
      <c r="O58" s="3" t="str">
        <f aca="false">IF(AND(B58=4,M58=1),IF(N58&lt;0.8,"Subgrupo 7 dias; fronteira de cluster","Subgrupo 7 dias"),IF(N58&lt;0.8,"Fronteira de cluster",""))</f>
        <v>Fronteira de cluster</v>
      </c>
    </row>
    <row r="59" customFormat="false" ht="15" hidden="false" customHeight="false" outlineLevel="0" collapsed="false">
      <c r="A59" s="14" t="n">
        <v>58</v>
      </c>
      <c r="B59" s="14" t="n">
        <v>1</v>
      </c>
      <c r="C59" s="14" t="s">
        <v>30</v>
      </c>
      <c r="D59" s="15" t="n">
        <v>6336.15890850722</v>
      </c>
      <c r="E59" s="16" t="n">
        <f aca="false">INDEX(Parâmetros!$C$33:$C$37,MATCH(B59,Parâmetros!$A$33:$A$37,0))</f>
        <v>6959.92435130262</v>
      </c>
      <c r="F59" s="7" t="n">
        <f aca="false">MAX(0,(E59-D59)/D59)</f>
        <v>0.0984453596891173</v>
      </c>
      <c r="G59" s="7" t="n">
        <f aca="false">MIN(K59*Parâmetros!$B$19,Parâmetros!$B$8)</f>
        <v>0.0544343866654235</v>
      </c>
      <c r="H59" s="3" t="str">
        <f aca="false">IF(F59&gt;=Parâmetros!$B$6,"Ação","Acompanhamento")</f>
        <v>Acompanhamento</v>
      </c>
      <c r="I59" s="17" t="n">
        <v>299.993403693931</v>
      </c>
      <c r="J59" s="11" t="n">
        <f aca="false">D59*I59</f>
        <v>1900805.87730871</v>
      </c>
      <c r="K59" s="7" t="n">
        <f aca="false">Parâmetros!$B$4+Parâmetros!$B$5*F59</f>
        <v>0.0446113399222793</v>
      </c>
      <c r="L59" s="11" t="n">
        <f aca="false">D59*(1+G59)</f>
        <v>6681.06383250647</v>
      </c>
      <c r="M59" s="14" t="n">
        <v>0</v>
      </c>
      <c r="N59" s="4" t="n">
        <v>1</v>
      </c>
      <c r="O59" s="3" t="str">
        <f aca="false">IF(AND(B59=4,M59=1),IF(N59&lt;0.8,"Subgrupo 7 dias; fronteira de cluster","Subgrupo 7 dias"),IF(N59&lt;0.8,"Fronteira de cluster",""))</f>
        <v/>
      </c>
    </row>
    <row r="60" customFormat="false" ht="15" hidden="false" customHeight="false" outlineLevel="0" collapsed="false">
      <c r="A60" s="14" t="n">
        <v>59</v>
      </c>
      <c r="B60" s="14" t="n">
        <v>3</v>
      </c>
      <c r="C60" s="14" t="s">
        <v>32</v>
      </c>
      <c r="D60" s="15" t="n">
        <v>5501.31202046036</v>
      </c>
      <c r="E60" s="16" t="n">
        <f aca="false">INDEX(Parâmetros!$C$33:$C$37,MATCH(B60,Parâmetros!$A$33:$A$37,0))</f>
        <v>5909.24487179487</v>
      </c>
      <c r="F60" s="7" t="n">
        <f aca="false">MAX(0,(E60-D60)/D60)</f>
        <v>0.0741519204541278</v>
      </c>
      <c r="G60" s="7" t="n">
        <f aca="false">MIN(K60*Parâmetros!$B$19,Parâmetros!$B$8)</f>
        <v>0.0470237234402535</v>
      </c>
      <c r="H60" s="3" t="str">
        <f aca="false">IF(F60&gt;=Parâmetros!$B$6,"Ação","Acompanhamento")</f>
        <v>Acompanhamento</v>
      </c>
      <c r="I60" s="17" t="n">
        <v>303.004246284501</v>
      </c>
      <c r="J60" s="11" t="n">
        <f aca="false">D60*I60</f>
        <v>1666920.90233546</v>
      </c>
      <c r="K60" s="7" t="n">
        <f aca="false">Parâmetros!$B$4+Parâmetros!$B$5*F60</f>
        <v>0.038537980113532</v>
      </c>
      <c r="L60" s="11" t="n">
        <f aca="false">D60*(1+G60)</f>
        <v>5760.00419546903</v>
      </c>
      <c r="M60" s="14" t="n">
        <v>0</v>
      </c>
      <c r="N60" s="4" t="n">
        <v>0.988636363636364</v>
      </c>
      <c r="O60" s="3" t="str">
        <f aca="false">IF(AND(B60=4,M60=1),IF(N60&lt;0.8,"Subgrupo 7 dias; fronteira de cluster","Subgrupo 7 dias"),IF(N60&lt;0.8,"Fronteira de cluster",""))</f>
        <v/>
      </c>
    </row>
    <row r="61" customFormat="false" ht="15" hidden="false" customHeight="false" outlineLevel="0" collapsed="false">
      <c r="A61" s="14" t="n">
        <v>60</v>
      </c>
      <c r="B61" s="14" t="n">
        <v>3</v>
      </c>
      <c r="C61" s="14" t="s">
        <v>32</v>
      </c>
      <c r="D61" s="15" t="n">
        <v>8033.08717948718</v>
      </c>
      <c r="E61" s="16" t="n">
        <f aca="false">INDEX(Parâmetros!$C$33:$C$37,MATCH(B61,Parâmetros!$A$33:$A$37,0))</f>
        <v>5909.24487179487</v>
      </c>
      <c r="F61" s="7" t="n">
        <f aca="false">MAX(0,(E61-D61)/D61)</f>
        <v>0</v>
      </c>
      <c r="G61" s="7" t="n">
        <f aca="false">MIN(K61*Parâmetros!$B$19,Parâmetros!$B$8)</f>
        <v>0.0244038339849275</v>
      </c>
      <c r="H61" s="3" t="str">
        <f aca="false">IF(F61&gt;=Parâmetros!$B$6,"Ação","Acompanhamento")</f>
        <v>Acompanhamento</v>
      </c>
      <c r="I61" s="17" t="n">
        <v>302.229299363057</v>
      </c>
      <c r="J61" s="11" t="n">
        <f aca="false">D61*I61</f>
        <v>2427834.30997877</v>
      </c>
      <c r="K61" s="7" t="n">
        <f aca="false">Parâmetros!$B$4+Parâmetros!$B$5*F61</f>
        <v>0.02</v>
      </c>
      <c r="L61" s="11" t="n">
        <f aca="false">D61*(1+G61)</f>
        <v>8229.12530540183</v>
      </c>
      <c r="M61" s="14" t="n">
        <v>0</v>
      </c>
      <c r="N61" s="4" t="n">
        <v>1</v>
      </c>
      <c r="O61" s="3" t="str">
        <f aca="false">IF(AND(B61=4,M61=1),IF(N61&lt;0.8,"Subgrupo 7 dias; fronteira de cluster","Subgrupo 7 dias"),IF(N61&lt;0.8,"Fronteira de cluster",""))</f>
        <v/>
      </c>
    </row>
    <row r="62" customFormat="false" ht="15" hidden="false" customHeight="false" outlineLevel="0" collapsed="false">
      <c r="A62" s="14" t="n">
        <v>61</v>
      </c>
      <c r="B62" s="14" t="n">
        <v>0</v>
      </c>
      <c r="C62" s="14" t="s">
        <v>29</v>
      </c>
      <c r="D62" s="15" t="n">
        <v>4722.00514800515</v>
      </c>
      <c r="E62" s="16" t="n">
        <f aca="false">INDEX(Parâmetros!$C$33:$C$37,MATCH(B62,Parâmetros!$A$33:$A$37,0))</f>
        <v>5476.37033462034</v>
      </c>
      <c r="F62" s="7" t="n">
        <f aca="false">MAX(0,(E62-D62)/D62)</f>
        <v>0.159755265606577</v>
      </c>
      <c r="G62" s="7" t="n">
        <f aca="false">MIN(K62*Parâmetros!$B$19,Parâmetros!$B$8)</f>
        <v>0.0731368462359387</v>
      </c>
      <c r="H62" s="3" t="str">
        <f aca="false">IF(F62&gt;=Parâmetros!$B$6,"Ação","Acompanhamento")</f>
        <v>Ação</v>
      </c>
      <c r="I62" s="17" t="n">
        <v>301.066878980892</v>
      </c>
      <c r="J62" s="11" t="n">
        <f aca="false">D62*I62</f>
        <v>1421639.35244161</v>
      </c>
      <c r="K62" s="7" t="n">
        <f aca="false">Parâmetros!$B$4+Parâmetros!$B$5*F62</f>
        <v>0.0599388164016443</v>
      </c>
      <c r="L62" s="11" t="n">
        <f aca="false">D62*(1+G62)</f>
        <v>5067.35771244011</v>
      </c>
      <c r="M62" s="14" t="n">
        <v>0</v>
      </c>
      <c r="N62" s="4" t="n">
        <v>0.9125</v>
      </c>
      <c r="O62" s="3" t="str">
        <f aca="false">IF(AND(B62=4,M62=1),IF(N62&lt;0.8,"Subgrupo 7 dias; fronteira de cluster","Subgrupo 7 dias"),IF(N62&lt;0.8,"Fronteira de cluster",""))</f>
        <v/>
      </c>
    </row>
    <row r="63" customFormat="false" ht="15" hidden="false" customHeight="false" outlineLevel="0" collapsed="false">
      <c r="A63" s="14" t="n">
        <v>62</v>
      </c>
      <c r="B63" s="14" t="n">
        <v>0</v>
      </c>
      <c r="C63" s="14" t="s">
        <v>29</v>
      </c>
      <c r="D63" s="15" t="n">
        <v>6503.86649550706</v>
      </c>
      <c r="E63" s="16" t="n">
        <f aca="false">INDEX(Parâmetros!$C$33:$C$37,MATCH(B63,Parâmetros!$A$33:$A$37,0))</f>
        <v>5476.37033462034</v>
      </c>
      <c r="F63" s="7" t="n">
        <f aca="false">MAX(0,(E63-D63)/D63)</f>
        <v>0</v>
      </c>
      <c r="G63" s="7" t="n">
        <f aca="false">MIN(K63*Parâmetros!$B$19,Parâmetros!$B$8)</f>
        <v>0.0244038339849275</v>
      </c>
      <c r="H63" s="3" t="str">
        <f aca="false">IF(F63&gt;=Parâmetros!$B$6,"Ação","Acompanhamento")</f>
        <v>Acompanhamento</v>
      </c>
      <c r="I63" s="17" t="n">
        <v>301.841825902336</v>
      </c>
      <c r="J63" s="11" t="n">
        <f aca="false">D63*I63</f>
        <v>1963138.93842887</v>
      </c>
      <c r="K63" s="7" t="n">
        <f aca="false">Parâmetros!$B$4+Parâmetros!$B$5*F63</f>
        <v>0.02</v>
      </c>
      <c r="L63" s="11" t="n">
        <f aca="false">D63*(1+G63)</f>
        <v>6662.58577372355</v>
      </c>
      <c r="M63" s="14" t="n">
        <v>0</v>
      </c>
      <c r="N63" s="4" t="n">
        <v>1</v>
      </c>
      <c r="O63" s="3" t="str">
        <f aca="false">IF(AND(B63=4,M63=1),IF(N63&lt;0.8,"Subgrupo 7 dias; fronteira de cluster","Subgrupo 7 dias"),IF(N63&lt;0.8,"Fronteira de cluster",""))</f>
        <v/>
      </c>
    </row>
    <row r="64" customFormat="false" ht="15" hidden="false" customHeight="false" outlineLevel="0" collapsed="false">
      <c r="A64" s="14" t="n">
        <v>63</v>
      </c>
      <c r="B64" s="14" t="n">
        <v>1</v>
      </c>
      <c r="C64" s="14" t="s">
        <v>30</v>
      </c>
      <c r="D64" s="15" t="n">
        <v>6956.38775510204</v>
      </c>
      <c r="E64" s="16" t="n">
        <f aca="false">INDEX(Parâmetros!$C$33:$C$37,MATCH(B64,Parâmetros!$A$33:$A$37,0))</f>
        <v>6959.92435130262</v>
      </c>
      <c r="F64" s="7" t="n">
        <f aca="false">MAX(0,(E64-D64)/D64)</f>
        <v>0.000508395495634358</v>
      </c>
      <c r="G64" s="7" t="n">
        <f aca="false">MIN(K64*Parâmetros!$B$19,Parâmetros!$B$8)</f>
        <v>0.0245589189758543</v>
      </c>
      <c r="H64" s="3" t="str">
        <f aca="false">IF(F64&gt;=Parâmetros!$B$6,"Ação","Acompanhamento")</f>
        <v>Acompanhamento</v>
      </c>
      <c r="I64" s="17" t="n">
        <v>303.779193205945</v>
      </c>
      <c r="J64" s="11" t="n">
        <f aca="false">D64*I64</f>
        <v>2113205.85987261</v>
      </c>
      <c r="K64" s="7" t="n">
        <f aca="false">Parâmetros!$B$4+Parâmetros!$B$5*F64</f>
        <v>0.0201270988739086</v>
      </c>
      <c r="L64" s="11" t="n">
        <f aca="false">D64*(1+G64)</f>
        <v>7127.22911834422</v>
      </c>
      <c r="M64" s="14" t="n">
        <v>0</v>
      </c>
      <c r="N64" s="4" t="n">
        <v>1</v>
      </c>
      <c r="O64" s="3" t="str">
        <f aca="false">IF(AND(B64=4,M64=1),IF(N64&lt;0.8,"Subgrupo 7 dias; fronteira de cluster","Subgrupo 7 dias"),IF(N64&lt;0.8,"Fronteira de cluster",""))</f>
        <v/>
      </c>
    </row>
    <row r="65" customFormat="false" ht="15" hidden="false" customHeight="false" outlineLevel="0" collapsed="false">
      <c r="A65" s="14" t="n">
        <v>64</v>
      </c>
      <c r="B65" s="14" t="n">
        <v>1</v>
      </c>
      <c r="C65" s="14" t="s">
        <v>30</v>
      </c>
      <c r="D65" s="15" t="n">
        <v>10359.5250320924</v>
      </c>
      <c r="E65" s="16" t="n">
        <f aca="false">INDEX(Parâmetros!$C$33:$C$37,MATCH(B65,Parâmetros!$A$33:$A$37,0))</f>
        <v>6959.92435130262</v>
      </c>
      <c r="F65" s="7" t="n">
        <f aca="false">MAX(0,(E65-D65)/D65)</f>
        <v>0</v>
      </c>
      <c r="G65" s="7" t="n">
        <f aca="false">MIN(K65*Parâmetros!$B$19,Parâmetros!$B$8)</f>
        <v>0.0244038339849275</v>
      </c>
      <c r="H65" s="3" t="str">
        <f aca="false">IF(F65&gt;=Parâmetros!$B$6,"Ação","Acompanhamento")</f>
        <v>Acompanhamento</v>
      </c>
      <c r="I65" s="17" t="n">
        <v>301.841825902336</v>
      </c>
      <c r="J65" s="11" t="n">
        <f aca="false">D65*I65</f>
        <v>3126937.95116773</v>
      </c>
      <c r="K65" s="7" t="n">
        <f aca="false">Parâmetros!$B$4+Parâmetros!$B$5*F65</f>
        <v>0.02</v>
      </c>
      <c r="L65" s="11" t="n">
        <f aca="false">D65*(1+G65)</f>
        <v>10612.3371611383</v>
      </c>
      <c r="M65" s="14" t="n">
        <v>0</v>
      </c>
      <c r="N65" s="4" t="n">
        <v>1</v>
      </c>
      <c r="O65" s="3" t="str">
        <f aca="false">IF(AND(B65=4,M65=1),IF(N65&lt;0.8,"Subgrupo 7 dias; fronteira de cluster","Subgrupo 7 dias"),IF(N65&lt;0.8,"Fronteira de cluster",""))</f>
        <v/>
      </c>
    </row>
    <row r="66" customFormat="false" ht="15" hidden="false" customHeight="false" outlineLevel="0" collapsed="false">
      <c r="A66" s="14" t="n">
        <v>65</v>
      </c>
      <c r="B66" s="14" t="n">
        <v>3</v>
      </c>
      <c r="C66" s="14" t="s">
        <v>32</v>
      </c>
      <c r="D66" s="15" t="n">
        <v>5112.89487179487</v>
      </c>
      <c r="E66" s="16" t="n">
        <f aca="false">INDEX(Parâmetros!$C$33:$C$37,MATCH(B66,Parâmetros!$A$33:$A$37,0))</f>
        <v>5909.24487179487</v>
      </c>
      <c r="F66" s="7" t="n">
        <f aca="false">MAX(0,(E66-D66)/D66)</f>
        <v>0.155753251331851</v>
      </c>
      <c r="G66" s="7" t="n">
        <f aca="false">MIN(K66*Parâmetros!$B$19,Parâmetros!$B$8)</f>
        <v>0.0719160400863671</v>
      </c>
      <c r="H66" s="3" t="str">
        <f aca="false">IF(F66&gt;=Parâmetros!$B$6,"Ação","Acompanhamento")</f>
        <v>Ação</v>
      </c>
      <c r="I66" s="17" t="n">
        <v>302.229299363057</v>
      </c>
      <c r="J66" s="11" t="n">
        <f aca="false">D66*I66</f>
        <v>1545266.63481953</v>
      </c>
      <c r="K66" s="7" t="n">
        <f aca="false">Parâmetros!$B$4+Parâmetros!$B$5*F66</f>
        <v>0.0589383128329628</v>
      </c>
      <c r="L66" s="11" t="n">
        <f aca="false">D66*(1+G66)</f>
        <v>5480.59402435225</v>
      </c>
      <c r="M66" s="14" t="n">
        <v>0</v>
      </c>
      <c r="N66" s="4" t="n">
        <v>1</v>
      </c>
      <c r="O66" s="3" t="str">
        <f aca="false">IF(AND(B66=4,M66=1),IF(N66&lt;0.8,"Subgrupo 7 dias; fronteira de cluster","Subgrupo 7 dias"),IF(N66&lt;0.8,"Fronteira de cluster",""))</f>
        <v/>
      </c>
    </row>
    <row r="67" customFormat="false" ht="15" hidden="false" customHeight="false" outlineLevel="0" collapsed="false">
      <c r="A67" s="14" t="n">
        <v>66</v>
      </c>
      <c r="B67" s="14" t="n">
        <v>1</v>
      </c>
      <c r="C67" s="14" t="s">
        <v>30</v>
      </c>
      <c r="D67" s="15" t="n">
        <v>6114.36036036036</v>
      </c>
      <c r="E67" s="16" t="n">
        <f aca="false">INDEX(Parâmetros!$C$33:$C$37,MATCH(B67,Parâmetros!$A$33:$A$37,0))</f>
        <v>6959.92435130262</v>
      </c>
      <c r="F67" s="7" t="n">
        <f aca="false">MAX(0,(E67-D67)/D67)</f>
        <v>0.138291487761187</v>
      </c>
      <c r="G67" s="7" t="n">
        <f aca="false">MIN(K67*Parâmetros!$B$19,Parâmetros!$B$8)</f>
        <v>0.0665893653455853</v>
      </c>
      <c r="H67" s="3" t="str">
        <f aca="false">IF(F67&gt;=Parâmetros!$B$6,"Ação","Acompanhamento")</f>
        <v>Ação</v>
      </c>
      <c r="I67" s="17" t="n">
        <v>301.066878980892</v>
      </c>
      <c r="J67" s="11" t="n">
        <f aca="false">D67*I67</f>
        <v>1840831.39065817</v>
      </c>
      <c r="K67" s="7" t="n">
        <f aca="false">Parâmetros!$B$4+Parâmetros!$B$5*F67</f>
        <v>0.0545728719402967</v>
      </c>
      <c r="L67" s="11" t="n">
        <f aca="false">D67*(1+G67)</f>
        <v>6521.51173625096</v>
      </c>
      <c r="M67" s="14" t="n">
        <v>0</v>
      </c>
      <c r="N67" s="4" t="n">
        <v>1</v>
      </c>
      <c r="O67" s="3" t="str">
        <f aca="false">IF(AND(B67=4,M67=1),IF(N67&lt;0.8,"Subgrupo 7 dias; fronteira de cluster","Subgrupo 7 dias"),IF(N67&lt;0.8,"Fronteira de cluster",""))</f>
        <v/>
      </c>
    </row>
    <row r="68" customFormat="false" ht="15" hidden="false" customHeight="false" outlineLevel="0" collapsed="false">
      <c r="A68" s="14" t="n">
        <v>67</v>
      </c>
      <c r="B68" s="14" t="n">
        <v>0</v>
      </c>
      <c r="C68" s="14" t="s">
        <v>29</v>
      </c>
      <c r="D68" s="15" t="n">
        <v>7828.9305019305</v>
      </c>
      <c r="E68" s="16" t="n">
        <f aca="false">INDEX(Parâmetros!$C$33:$C$37,MATCH(B68,Parâmetros!$A$33:$A$37,0))</f>
        <v>5476.37033462034</v>
      </c>
      <c r="F68" s="7" t="n">
        <f aca="false">MAX(0,(E68-D68)/D68)</f>
        <v>0</v>
      </c>
      <c r="G68" s="7" t="n">
        <f aca="false">MIN(K68*Parâmetros!$B$19,Parâmetros!$B$8)</f>
        <v>0.0244038339849275</v>
      </c>
      <c r="H68" s="3" t="str">
        <f aca="false">IF(F68&gt;=Parâmetros!$B$6,"Ação","Acompanhamento")</f>
        <v>Acompanhamento</v>
      </c>
      <c r="I68" s="17" t="n">
        <v>301.066878980892</v>
      </c>
      <c r="J68" s="11" t="n">
        <f aca="false">D68*I68</f>
        <v>2357031.67197452</v>
      </c>
      <c r="K68" s="7" t="n">
        <f aca="false">Parâmetros!$B$4+Parâmetros!$B$5*F68</f>
        <v>0.02</v>
      </c>
      <c r="L68" s="11" t="n">
        <f aca="false">D68*(1+G68)</f>
        <v>8019.98642217915</v>
      </c>
      <c r="M68" s="14" t="n">
        <v>0</v>
      </c>
      <c r="N68" s="4" t="n">
        <v>0.9875</v>
      </c>
      <c r="O68" s="3" t="str">
        <f aca="false">IF(AND(B68=4,M68=1),IF(N68&lt;0.8,"Subgrupo 7 dias; fronteira de cluster","Subgrupo 7 dias"),IF(N68&lt;0.8,"Fronteira de cluster",""))</f>
        <v/>
      </c>
    </row>
    <row r="69" customFormat="false" ht="15" hidden="false" customHeight="false" outlineLevel="0" collapsed="false">
      <c r="A69" s="14" t="n">
        <v>68</v>
      </c>
      <c r="B69" s="14" t="n">
        <v>2</v>
      </c>
      <c r="C69" s="14" t="s">
        <v>31</v>
      </c>
      <c r="D69" s="15" t="n">
        <v>7563.25255102041</v>
      </c>
      <c r="E69" s="16" t="n">
        <f aca="false">INDEX(Parâmetros!$C$33:$C$37,MATCH(B69,Parâmetros!$A$33:$A$37,0))</f>
        <v>6324.80102695764</v>
      </c>
      <c r="F69" s="7" t="n">
        <f aca="false">MAX(0,(E69-D69)/D69)</f>
        <v>0</v>
      </c>
      <c r="G69" s="7" t="n">
        <f aca="false">MIN(K69*Parâmetros!$B$19,Parâmetros!$B$8)</f>
        <v>0.0244038339849275</v>
      </c>
      <c r="H69" s="3" t="str">
        <f aca="false">IF(F69&gt;=Parâmetros!$B$6,"Ação","Acompanhamento")</f>
        <v>Acompanhamento</v>
      </c>
      <c r="I69" s="17" t="n">
        <v>303.779193205945</v>
      </c>
      <c r="J69" s="11" t="n">
        <f aca="false">D69*I69</f>
        <v>2297558.75796178</v>
      </c>
      <c r="K69" s="7" t="n">
        <f aca="false">Parâmetros!$B$4+Parâmetros!$B$5*F69</f>
        <v>0.02</v>
      </c>
      <c r="L69" s="11" t="n">
        <f aca="false">D69*(1+G69)</f>
        <v>7747.82491066159</v>
      </c>
      <c r="M69" s="14" t="n">
        <v>0</v>
      </c>
      <c r="N69" s="4" t="n">
        <v>0.987654320987654</v>
      </c>
      <c r="O69" s="3" t="str">
        <f aca="false">IF(AND(B69=4,M69=1),IF(N69&lt;0.8,"Subgrupo 7 dias; fronteira de cluster","Subgrupo 7 dias"),IF(N69&lt;0.8,"Fronteira de cluster",""))</f>
        <v/>
      </c>
    </row>
    <row r="70" customFormat="false" ht="15" hidden="false" customHeight="false" outlineLevel="0" collapsed="false">
      <c r="A70" s="14" t="n">
        <v>69</v>
      </c>
      <c r="B70" s="14" t="n">
        <v>4</v>
      </c>
      <c r="C70" s="14" t="s">
        <v>33</v>
      </c>
      <c r="D70" s="15" t="n">
        <v>9426.45198463508</v>
      </c>
      <c r="E70" s="16" t="n">
        <f aca="false">INDEX(Parâmetros!$C$33:$C$37,MATCH(B70,Parâmetros!$A$33:$A$37,0))</f>
        <v>8837.10512820513</v>
      </c>
      <c r="F70" s="7" t="n">
        <f aca="false">MAX(0,(E70-D70)/D70)</f>
        <v>0</v>
      </c>
      <c r="G70" s="7" t="n">
        <f aca="false">MIN(K70*Parâmetros!$B$19,Parâmetros!$B$8)</f>
        <v>0.0244038339849275</v>
      </c>
      <c r="H70" s="3" t="str">
        <f aca="false">IF(F70&gt;=Parâmetros!$B$6,"Ação","Acompanhamento")</f>
        <v>Acompanhamento</v>
      </c>
      <c r="I70" s="17" t="n">
        <v>302.616772823779</v>
      </c>
      <c r="J70" s="11" t="n">
        <f aca="false">D70*I70</f>
        <v>2852602.47876858</v>
      </c>
      <c r="K70" s="7" t="n">
        <f aca="false">Parâmetros!$B$4+Parâmetros!$B$5*F70</f>
        <v>0.02</v>
      </c>
      <c r="L70" s="11" t="n">
        <f aca="false">D70*(1+G70)</f>
        <v>9656.49355393501</v>
      </c>
      <c r="M70" s="14" t="n">
        <v>0</v>
      </c>
      <c r="N70" s="4" t="n">
        <v>0.972602739726027</v>
      </c>
      <c r="O70" s="3" t="str">
        <f aca="false">IF(AND(B70=4,M70=1),IF(N70&lt;0.8,"Subgrupo 7 dias; fronteira de cluster","Subgrupo 7 dias"),IF(N70&lt;0.8,"Fronteira de cluster",""))</f>
        <v/>
      </c>
    </row>
    <row r="71" customFormat="false" ht="15" hidden="false" customHeight="false" outlineLevel="0" collapsed="false">
      <c r="A71" s="14" t="n">
        <v>70</v>
      </c>
      <c r="B71" s="14" t="n">
        <v>1</v>
      </c>
      <c r="C71" s="14" t="s">
        <v>30</v>
      </c>
      <c r="D71" s="15" t="n">
        <v>6608.02813299233</v>
      </c>
      <c r="E71" s="16" t="n">
        <f aca="false">INDEX(Parâmetros!$C$33:$C$37,MATCH(B71,Parâmetros!$A$33:$A$37,0))</f>
        <v>6959.92435130262</v>
      </c>
      <c r="F71" s="7" t="n">
        <f aca="false">MAX(0,(E71-D71)/D71)</f>
        <v>0.0532528329522932</v>
      </c>
      <c r="G71" s="7" t="n">
        <f aca="false">MIN(K71*Parâmetros!$B$19,Parâmetros!$B$8)</f>
        <v>0.0406485001673629</v>
      </c>
      <c r="H71" s="3" t="str">
        <f aca="false">IF(F71&gt;=Parâmetros!$B$6,"Ação","Acompanhamento")</f>
        <v>Acompanhamento</v>
      </c>
      <c r="I71" s="17" t="n">
        <v>303.004246284501</v>
      </c>
      <c r="J71" s="11" t="n">
        <f aca="false">D71*I71</f>
        <v>2002260.58386412</v>
      </c>
      <c r="K71" s="7" t="n">
        <f aca="false">Parâmetros!$B$4+Parâmetros!$B$5*F71</f>
        <v>0.0333132082380733</v>
      </c>
      <c r="L71" s="11" t="n">
        <f aca="false">D71*(1+G71)</f>
        <v>6876.6345656622</v>
      </c>
      <c r="M71" s="14" t="n">
        <v>0</v>
      </c>
      <c r="N71" s="4" t="n">
        <v>1</v>
      </c>
      <c r="O71" s="3" t="str">
        <f aca="false">IF(AND(B71=4,M71=1),IF(N71&lt;0.8,"Subgrupo 7 dias; fronteira de cluster","Subgrupo 7 dias"),IF(N71&lt;0.8,"Fronteira de cluster",""))</f>
        <v/>
      </c>
    </row>
    <row r="72" customFormat="false" ht="15" hidden="false" customHeight="false" outlineLevel="0" collapsed="false">
      <c r="A72" s="14" t="n">
        <v>71</v>
      </c>
      <c r="B72" s="14" t="n">
        <v>1</v>
      </c>
      <c r="C72" s="14" t="s">
        <v>30</v>
      </c>
      <c r="D72" s="15" t="n">
        <v>9061.09756097561</v>
      </c>
      <c r="E72" s="16" t="n">
        <f aca="false">INDEX(Parâmetros!$C$33:$C$37,MATCH(B72,Parâmetros!$A$33:$A$37,0))</f>
        <v>6959.92435130262</v>
      </c>
      <c r="F72" s="7" t="n">
        <f aca="false">MAX(0,(E72-D72)/D72)</f>
        <v>0</v>
      </c>
      <c r="G72" s="7" t="n">
        <f aca="false">MIN(K72*Parâmetros!$B$19,Parâmetros!$B$8)</f>
        <v>0.0244038339849275</v>
      </c>
      <c r="H72" s="3" t="str">
        <f aca="false">IF(F72&gt;=Parâmetros!$B$6,"Ação","Acompanhamento")</f>
        <v>Acompanhamento</v>
      </c>
      <c r="I72" s="17" t="n">
        <v>301.841825902336</v>
      </c>
      <c r="J72" s="11" t="n">
        <f aca="false">D72*I72</f>
        <v>2735018.23248408</v>
      </c>
      <c r="K72" s="7" t="n">
        <f aca="false">Parâmetros!$B$4+Parâmetros!$B$5*F72</f>
        <v>0.02</v>
      </c>
      <c r="L72" s="11" t="n">
        <f aca="false">D72*(1+G72)</f>
        <v>9282.22308157489</v>
      </c>
      <c r="M72" s="14" t="n">
        <v>0</v>
      </c>
      <c r="N72" s="4" t="n">
        <v>1</v>
      </c>
      <c r="O72" s="3" t="str">
        <f aca="false">IF(AND(B72=4,M72=1),IF(N72&lt;0.8,"Subgrupo 7 dias; fronteira de cluster","Subgrupo 7 dias"),IF(N72&lt;0.8,"Fronteira de cluster",""))</f>
        <v/>
      </c>
    </row>
    <row r="73" customFormat="false" ht="15" hidden="false" customHeight="false" outlineLevel="0" collapsed="false">
      <c r="A73" s="14" t="n">
        <v>72</v>
      </c>
      <c r="B73" s="14" t="n">
        <v>3</v>
      </c>
      <c r="C73" s="14" t="s">
        <v>32</v>
      </c>
      <c r="D73" s="15" t="n">
        <v>4420.02568218299</v>
      </c>
      <c r="E73" s="16" t="n">
        <f aca="false">INDEX(Parâmetros!$C$33:$C$37,MATCH(B73,Parâmetros!$A$33:$A$37,0))</f>
        <v>5909.24487179487</v>
      </c>
      <c r="F73" s="7" t="n">
        <f aca="false">MAX(0,(E73-D73)/D73)</f>
        <v>0.336925460776143</v>
      </c>
      <c r="G73" s="7" t="n">
        <f aca="false">MIN(K73*Parâmetros!$B$19,Parâmetros!$B$8)</f>
        <v>0.12718224661088</v>
      </c>
      <c r="H73" s="3" t="str">
        <f aca="false">IF(F73&gt;=Parâmetros!$B$6,"Ação","Acompanhamento")</f>
        <v>Ação</v>
      </c>
      <c r="I73" s="17" t="n">
        <v>299.993403693931</v>
      </c>
      <c r="J73" s="11" t="n">
        <f aca="false">D73*I73</f>
        <v>1325978.54881266</v>
      </c>
      <c r="K73" s="7" t="n">
        <f aca="false">Parâmetros!$B$4+Parâmetros!$B$5*F73</f>
        <v>0.104231365194036</v>
      </c>
      <c r="L73" s="11" t="n">
        <f aca="false">D73*(1+G73)</f>
        <v>4982.1744785208</v>
      </c>
      <c r="M73" s="14" t="n">
        <v>0</v>
      </c>
      <c r="N73" s="4" t="n">
        <v>1</v>
      </c>
      <c r="O73" s="3" t="str">
        <f aca="false">IF(AND(B73=4,M73=1),IF(N73&lt;0.8,"Subgrupo 7 dias; fronteira de cluster","Subgrupo 7 dias"),IF(N73&lt;0.8,"Fronteira de cluster",""))</f>
        <v/>
      </c>
    </row>
    <row r="74" customFormat="false" ht="15" hidden="false" customHeight="false" outlineLevel="0" collapsed="false">
      <c r="A74" s="14" t="n">
        <v>73</v>
      </c>
      <c r="B74" s="14" t="n">
        <v>0</v>
      </c>
      <c r="C74" s="14" t="s">
        <v>29</v>
      </c>
      <c r="D74" s="15" t="n">
        <v>4576.97831632653</v>
      </c>
      <c r="E74" s="16" t="n">
        <f aca="false">INDEX(Parâmetros!$C$33:$C$37,MATCH(B74,Parâmetros!$A$33:$A$37,0))</f>
        <v>5476.37033462034</v>
      </c>
      <c r="F74" s="7" t="n">
        <f aca="false">MAX(0,(E74-D74)/D74)</f>
        <v>0.196503447500632</v>
      </c>
      <c r="G74" s="7" t="n">
        <f aca="false">MIN(K74*Parâmetros!$B$19,Parâmetros!$B$8)</f>
        <v>0.0843468028633192</v>
      </c>
      <c r="H74" s="3" t="str">
        <f aca="false">IF(F74&gt;=Parâmetros!$B$6,"Ação","Acompanhamento")</f>
        <v>Ação</v>
      </c>
      <c r="I74" s="17" t="n">
        <v>303.779193205945</v>
      </c>
      <c r="J74" s="11" t="n">
        <f aca="false">D74*I74</f>
        <v>1390390.78025478</v>
      </c>
      <c r="K74" s="7" t="n">
        <f aca="false">Parâmetros!$B$4+Parâmetros!$B$5*F74</f>
        <v>0.0691258618751581</v>
      </c>
      <c r="L74" s="11" t="n">
        <f aca="false">D74*(1+G74)</f>
        <v>4963.03180408341</v>
      </c>
      <c r="M74" s="14" t="n">
        <v>0</v>
      </c>
      <c r="N74" s="4" t="n">
        <v>1</v>
      </c>
      <c r="O74" s="3" t="str">
        <f aca="false">IF(AND(B74=4,M74=1),IF(N74&lt;0.8,"Subgrupo 7 dias; fronteira de cluster","Subgrupo 7 dias"),IF(N74&lt;0.8,"Fronteira de cluster",""))</f>
        <v/>
      </c>
    </row>
    <row r="75" customFormat="false" ht="15" hidden="false" customHeight="false" outlineLevel="0" collapsed="false">
      <c r="A75" s="14" t="n">
        <v>74</v>
      </c>
      <c r="B75" s="14" t="n">
        <v>0</v>
      </c>
      <c r="C75" s="14" t="s">
        <v>29</v>
      </c>
      <c r="D75" s="15" t="n">
        <v>6256.63015463918</v>
      </c>
      <c r="E75" s="16" t="n">
        <f aca="false">INDEX(Parâmetros!$C$33:$C$37,MATCH(B75,Parâmetros!$A$33:$A$37,0))</f>
        <v>5476.37033462034</v>
      </c>
      <c r="F75" s="7" t="n">
        <f aca="false">MAX(0,(E75-D75)/D75)</f>
        <v>0</v>
      </c>
      <c r="G75" s="7" t="n">
        <f aca="false">MIN(K75*Parâmetros!$B$19,Parâmetros!$B$8)</f>
        <v>0.0244038339849275</v>
      </c>
      <c r="H75" s="3" t="str">
        <f aca="false">IF(F75&gt;=Parâmetros!$B$6,"Ação","Acompanhamento")</f>
        <v>Acompanhamento</v>
      </c>
      <c r="I75" s="17" t="n">
        <v>300.67940552017</v>
      </c>
      <c r="J75" s="11" t="n">
        <f aca="false">D75*I75</f>
        <v>1881239.83545648</v>
      </c>
      <c r="K75" s="7" t="n">
        <f aca="false">Parâmetros!$B$4+Parâmetros!$B$5*F75</f>
        <v>0.02</v>
      </c>
      <c r="L75" s="11" t="n">
        <f aca="false">D75*(1+G75)</f>
        <v>6409.31591823808</v>
      </c>
      <c r="M75" s="14" t="n">
        <v>0</v>
      </c>
      <c r="N75" s="4" t="n">
        <v>0.976190476190476</v>
      </c>
      <c r="O75" s="3" t="str">
        <f aca="false">IF(AND(B75=4,M75=1),IF(N75&lt;0.8,"Subgrupo 7 dias; fronteira de cluster","Subgrupo 7 dias"),IF(N75&lt;0.8,"Fronteira de cluster",""))</f>
        <v/>
      </c>
    </row>
    <row r="76" customFormat="false" ht="15" hidden="false" customHeight="false" outlineLevel="0" collapsed="false">
      <c r="A76" s="14" t="n">
        <v>75</v>
      </c>
      <c r="B76" s="14" t="n">
        <v>1</v>
      </c>
      <c r="C76" s="14" t="s">
        <v>30</v>
      </c>
      <c r="D76" s="15" t="n">
        <v>6023.45408163265</v>
      </c>
      <c r="E76" s="16" t="n">
        <f aca="false">INDEX(Parâmetros!$C$33:$C$37,MATCH(B76,Parâmetros!$A$33:$A$37,0))</f>
        <v>6959.92435130262</v>
      </c>
      <c r="F76" s="7" t="n">
        <f aca="false">MAX(0,(E76-D76)/D76)</f>
        <v>0.155470641425748</v>
      </c>
      <c r="G76" s="7" t="n">
        <f aca="false">MIN(K76*Parâmetros!$B$19,Parâmetros!$B$8)</f>
        <v>0.0718298305209792</v>
      </c>
      <c r="H76" s="3" t="str">
        <f aca="false">IF(F76&gt;=Parâmetros!$B$6,"Ação","Acompanhamento")</f>
        <v>Ação</v>
      </c>
      <c r="I76" s="17" t="n">
        <v>303.779193205945</v>
      </c>
      <c r="J76" s="11" t="n">
        <f aca="false">D76*I76</f>
        <v>1829800.02123142</v>
      </c>
      <c r="K76" s="7" t="n">
        <f aca="false">Parâmetros!$B$4+Parâmetros!$B$5*F76</f>
        <v>0.058867660356437</v>
      </c>
      <c r="L76" s="11" t="n">
        <f aca="false">D76*(1+G76)</f>
        <v>6456.11776746723</v>
      </c>
      <c r="M76" s="14" t="n">
        <v>0</v>
      </c>
      <c r="N76" s="4" t="n">
        <v>1</v>
      </c>
      <c r="O76" s="3" t="str">
        <f aca="false">IF(AND(B76=4,M76=1),IF(N76&lt;0.8,"Subgrupo 7 dias; fronteira de cluster","Subgrupo 7 dias"),IF(N76&lt;0.8,"Fronteira de cluster",""))</f>
        <v/>
      </c>
    </row>
    <row r="77" customFormat="false" ht="15" hidden="false" customHeight="false" outlineLevel="0" collapsed="false">
      <c r="A77" s="14" t="n">
        <v>76</v>
      </c>
      <c r="B77" s="14" t="n">
        <v>1</v>
      </c>
      <c r="C77" s="14" t="s">
        <v>30</v>
      </c>
      <c r="D77" s="15" t="n">
        <v>8999.54735152488</v>
      </c>
      <c r="E77" s="16" t="n">
        <f aca="false">INDEX(Parâmetros!$C$33:$C$37,MATCH(B77,Parâmetros!$A$33:$A$37,0))</f>
        <v>6959.92435130262</v>
      </c>
      <c r="F77" s="7" t="n">
        <f aca="false">MAX(0,(E77-D77)/D77)</f>
        <v>0</v>
      </c>
      <c r="G77" s="7" t="n">
        <f aca="false">MIN(K77*Parâmetros!$B$19,Parâmetros!$B$8)</f>
        <v>0.0244038339849275</v>
      </c>
      <c r="H77" s="3" t="str">
        <f aca="false">IF(F77&gt;=Parâmetros!$B$6,"Ação","Acompanhamento")</f>
        <v>Acompanhamento</v>
      </c>
      <c r="I77" s="17" t="n">
        <v>299.993403693931</v>
      </c>
      <c r="J77" s="11" t="n">
        <f aca="false">D77*I77</f>
        <v>2699804.84168865</v>
      </c>
      <c r="K77" s="7" t="n">
        <f aca="false">Parâmetros!$B$4+Parâmetros!$B$5*F77</f>
        <v>0.02</v>
      </c>
      <c r="L77" s="11" t="n">
        <f aca="false">D77*(1+G77)</f>
        <v>9219.17081103099</v>
      </c>
      <c r="M77" s="14" t="n">
        <v>0</v>
      </c>
      <c r="N77" s="4" t="n">
        <v>1</v>
      </c>
      <c r="O77" s="3" t="str">
        <f aca="false">IF(AND(B77=4,M77=1),IF(N77&lt;0.8,"Subgrupo 7 dias; fronteira de cluster","Subgrupo 7 dias"),IF(N77&lt;0.8,"Fronteira de cluster",""))</f>
        <v/>
      </c>
    </row>
    <row r="78" customFormat="false" ht="15" hidden="false" customHeight="false" outlineLevel="0" collapsed="false">
      <c r="A78" s="14" t="n">
        <v>77</v>
      </c>
      <c r="B78" s="14" t="n">
        <v>1</v>
      </c>
      <c r="C78" s="14" t="s">
        <v>30</v>
      </c>
      <c r="D78" s="15" t="n">
        <v>7621.48911651729</v>
      </c>
      <c r="E78" s="16" t="n">
        <f aca="false">INDEX(Parâmetros!$C$33:$C$37,MATCH(B78,Parâmetros!$A$33:$A$37,0))</f>
        <v>6959.92435130262</v>
      </c>
      <c r="F78" s="7" t="n">
        <f aca="false">MAX(0,(E78-D78)/D78)</f>
        <v>0</v>
      </c>
      <c r="G78" s="7" t="n">
        <f aca="false">MIN(K78*Parâmetros!$B$19,Parâmetros!$B$8)</f>
        <v>0.0244038339849275</v>
      </c>
      <c r="H78" s="3" t="str">
        <f aca="false">IF(F78&gt;=Parâmetros!$B$6,"Ação","Acompanhamento")</f>
        <v>Acompanhamento</v>
      </c>
      <c r="I78" s="17" t="n">
        <v>302.616772823779</v>
      </c>
      <c r="J78" s="11" t="n">
        <f aca="false">D78*I78</f>
        <v>2306390.44055202</v>
      </c>
      <c r="K78" s="7" t="n">
        <f aca="false">Parâmetros!$B$4+Parâmetros!$B$5*F78</f>
        <v>0.02</v>
      </c>
      <c r="L78" s="11" t="n">
        <f aca="false">D78*(1+G78)</f>
        <v>7807.48267163471</v>
      </c>
      <c r="M78" s="14" t="n">
        <v>0</v>
      </c>
      <c r="N78" s="4" t="n">
        <v>1</v>
      </c>
      <c r="O78" s="3" t="str">
        <f aca="false">IF(AND(B78=4,M78=1),IF(N78&lt;0.8,"Subgrupo 7 dias; fronteira de cluster","Subgrupo 7 dias"),IF(N78&lt;0.8,"Fronteira de cluster",""))</f>
        <v/>
      </c>
    </row>
    <row r="79" customFormat="false" ht="15" hidden="false" customHeight="false" outlineLevel="0" collapsed="false">
      <c r="A79" s="14" t="n">
        <v>78</v>
      </c>
      <c r="B79" s="14" t="n">
        <v>0</v>
      </c>
      <c r="C79" s="14" t="s">
        <v>29</v>
      </c>
      <c r="D79" s="15" t="n">
        <v>3717.47307692308</v>
      </c>
      <c r="E79" s="16" t="n">
        <f aca="false">INDEX(Parâmetros!$C$33:$C$37,MATCH(B79,Parâmetros!$A$33:$A$37,0))</f>
        <v>5476.37033462034</v>
      </c>
      <c r="F79" s="7" t="n">
        <f aca="false">MAX(0,(E79-D79)/D79)</f>
        <v>0.473143240395189</v>
      </c>
      <c r="G79" s="7" t="n">
        <f aca="false">MIN(K79*Parâmetros!$B$19,Parâmetros!$B$8)</f>
        <v>0.168735197606113</v>
      </c>
      <c r="H79" s="3" t="str">
        <f aca="false">IF(F79&gt;=Parâmetros!$B$6,"Ação","Acompanhamento")</f>
        <v>Ação</v>
      </c>
      <c r="I79" s="17" t="n">
        <v>302.229299363057</v>
      </c>
      <c r="J79" s="11" t="n">
        <f aca="false">D79*I79</f>
        <v>1123529.28343949</v>
      </c>
      <c r="K79" s="7" t="n">
        <f aca="false">Parâmetros!$B$4+Parâmetros!$B$5*F79</f>
        <v>0.138285810098797</v>
      </c>
      <c r="L79" s="11" t="n">
        <f aca="false">D79*(1+G79)</f>
        <v>4344.7416311531</v>
      </c>
      <c r="M79" s="14" t="n">
        <v>0</v>
      </c>
      <c r="N79" s="4" t="n">
        <v>1</v>
      </c>
      <c r="O79" s="3" t="str">
        <f aca="false">IF(AND(B79=4,M79=1),IF(N79&lt;0.8,"Subgrupo 7 dias; fronteira de cluster","Subgrupo 7 dias"),IF(N79&lt;0.8,"Fronteira de cluster",""))</f>
        <v/>
      </c>
    </row>
    <row r="80" customFormat="false" ht="15" hidden="false" customHeight="false" outlineLevel="0" collapsed="false">
      <c r="A80" s="14" t="n">
        <v>79</v>
      </c>
      <c r="B80" s="14" t="n">
        <v>0</v>
      </c>
      <c r="C80" s="14" t="s">
        <v>29</v>
      </c>
      <c r="D80" s="15" t="n">
        <v>5474.24066924067</v>
      </c>
      <c r="E80" s="16" t="n">
        <f aca="false">INDEX(Parâmetros!$C$33:$C$37,MATCH(B80,Parâmetros!$A$33:$A$37,0))</f>
        <v>5476.37033462034</v>
      </c>
      <c r="F80" s="7" t="n">
        <f aca="false">MAX(0,(E80-D80)/D80)</f>
        <v>0.00038903393335111</v>
      </c>
      <c r="G80" s="7" t="n">
        <f aca="false">MIN(K80*Parâmetros!$B$19,Parâmetros!$B$8)</f>
        <v>0.0245225079789775</v>
      </c>
      <c r="H80" s="3" t="str">
        <f aca="false">IF(F80&gt;=Parâmetros!$B$6,"Ação","Acompanhamento")</f>
        <v>Acompanhamento</v>
      </c>
      <c r="I80" s="17" t="n">
        <v>301.066878980892</v>
      </c>
      <c r="J80" s="11" t="n">
        <f aca="false">D80*I80</f>
        <v>1648112.55307856</v>
      </c>
      <c r="K80" s="7" t="n">
        <f aca="false">Parâmetros!$B$4+Parâmetros!$B$5*F80</f>
        <v>0.0200972584833378</v>
      </c>
      <c r="L80" s="11" t="n">
        <f aca="false">D80*(1+G80)</f>
        <v>5608.48277973097</v>
      </c>
      <c r="M80" s="14" t="n">
        <v>0</v>
      </c>
      <c r="N80" s="4" t="n">
        <v>0.976190476190476</v>
      </c>
      <c r="O80" s="3" t="str">
        <f aca="false">IF(AND(B80=4,M80=1),IF(N80&lt;0.8,"Subgrupo 7 dias; fronteira de cluster","Subgrupo 7 dias"),IF(N80&lt;0.8,"Fronteira de cluster",""))</f>
        <v/>
      </c>
    </row>
    <row r="81" customFormat="false" ht="15" hidden="false" customHeight="false" outlineLevel="0" collapsed="false">
      <c r="A81" s="14" t="n">
        <v>80</v>
      </c>
      <c r="B81" s="14" t="n">
        <v>1</v>
      </c>
      <c r="C81" s="14" t="s">
        <v>30</v>
      </c>
      <c r="D81" s="15" t="n">
        <v>7616.27342747112</v>
      </c>
      <c r="E81" s="16" t="n">
        <f aca="false">INDEX(Parâmetros!$C$33:$C$37,MATCH(B81,Parâmetros!$A$33:$A$37,0))</f>
        <v>6959.92435130262</v>
      </c>
      <c r="F81" s="7" t="n">
        <f aca="false">MAX(0,(E81-D81)/D81)</f>
        <v>0</v>
      </c>
      <c r="G81" s="7" t="n">
        <f aca="false">MIN(K81*Parâmetros!$B$19,Parâmetros!$B$8)</f>
        <v>0.0244038339849275</v>
      </c>
      <c r="H81" s="3" t="str">
        <f aca="false">IF(F81&gt;=Parâmetros!$B$6,"Ação","Acompanhamento")</f>
        <v>Acompanhamento</v>
      </c>
      <c r="I81" s="17" t="n">
        <v>301.841825902336</v>
      </c>
      <c r="J81" s="11" t="n">
        <f aca="false">D81*I81</f>
        <v>2298909.87791932</v>
      </c>
      <c r="K81" s="7" t="n">
        <f aca="false">Parâmetros!$B$4+Parâmetros!$B$5*F81</f>
        <v>0.02</v>
      </c>
      <c r="L81" s="11" t="n">
        <f aca="false">D81*(1+G81)</f>
        <v>7802.13969977894</v>
      </c>
      <c r="M81" s="14" t="n">
        <v>0</v>
      </c>
      <c r="N81" s="4" t="n">
        <v>1</v>
      </c>
      <c r="O81" s="3" t="str">
        <f aca="false">IF(AND(B81=4,M81=1),IF(N81&lt;0.8,"Subgrupo 7 dias; fronteira de cluster","Subgrupo 7 dias"),IF(N81&lt;0.8,"Fronteira de cluster",""))</f>
        <v/>
      </c>
    </row>
    <row r="82" customFormat="false" ht="15" hidden="false" customHeight="false" outlineLevel="0" collapsed="false">
      <c r="A82" s="14" t="n">
        <v>81</v>
      </c>
      <c r="B82" s="14" t="n">
        <v>1</v>
      </c>
      <c r="C82" s="14" t="s">
        <v>30</v>
      </c>
      <c r="D82" s="15" t="n">
        <v>6985.68810289389</v>
      </c>
      <c r="E82" s="16" t="n">
        <f aca="false">INDEX(Parâmetros!$C$33:$C$37,MATCH(B82,Parâmetros!$A$33:$A$37,0))</f>
        <v>6959.92435130262</v>
      </c>
      <c r="F82" s="7" t="n">
        <f aca="false">MAX(0,(E82-D82)/D82)</f>
        <v>0</v>
      </c>
      <c r="G82" s="7" t="n">
        <f aca="false">MIN(K82*Parâmetros!$B$19,Parâmetros!$B$8)</f>
        <v>0.0244038339849275</v>
      </c>
      <c r="H82" s="3" t="str">
        <f aca="false">IF(F82&gt;=Parâmetros!$B$6,"Ação","Acompanhamento")</f>
        <v>Acompanhamento</v>
      </c>
      <c r="I82" s="17" t="n">
        <v>299.511873350924</v>
      </c>
      <c r="J82" s="11" t="n">
        <f aca="false">D82*I82</f>
        <v>2092296.53034301</v>
      </c>
      <c r="K82" s="7" t="n">
        <f aca="false">Parâmetros!$B$4+Parâmetros!$B$5*F82</f>
        <v>0.02</v>
      </c>
      <c r="L82" s="11" t="n">
        <f aca="false">D82*(1+G82)</f>
        <v>7156.1656756274</v>
      </c>
      <c r="M82" s="14" t="n">
        <v>0</v>
      </c>
      <c r="N82" s="4" t="n">
        <v>1</v>
      </c>
      <c r="O82" s="3" t="str">
        <f aca="false">IF(AND(B82=4,M82=1),IF(N82&lt;0.8,"Subgrupo 7 dias; fronteira de cluster","Subgrupo 7 dias"),IF(N82&lt;0.8,"Fronteira de cluster",""))</f>
        <v/>
      </c>
    </row>
    <row r="83" customFormat="false" ht="15" hidden="false" customHeight="false" outlineLevel="0" collapsed="false">
      <c r="A83" s="14" t="n">
        <v>82</v>
      </c>
      <c r="B83" s="14" t="n">
        <v>3</v>
      </c>
      <c r="C83" s="14" t="s">
        <v>32</v>
      </c>
      <c r="D83" s="15" t="n">
        <v>9019.65340179718</v>
      </c>
      <c r="E83" s="16" t="n">
        <f aca="false">INDEX(Parâmetros!$C$33:$C$37,MATCH(B83,Parâmetros!$A$33:$A$37,0))</f>
        <v>5909.24487179487</v>
      </c>
      <c r="F83" s="7" t="n">
        <f aca="false">MAX(0,(E83-D83)/D83)</f>
        <v>0</v>
      </c>
      <c r="G83" s="7" t="n">
        <f aca="false">MIN(K83*Parâmetros!$B$19,Parâmetros!$B$8)</f>
        <v>0.0244038339849275</v>
      </c>
      <c r="H83" s="3" t="str">
        <f aca="false">IF(F83&gt;=Parâmetros!$B$6,"Ação","Acompanhamento")</f>
        <v>Acompanhamento</v>
      </c>
      <c r="I83" s="17" t="n">
        <v>301.841825902336</v>
      </c>
      <c r="J83" s="11" t="n">
        <f aca="false">D83*I83</f>
        <v>2722508.65180467</v>
      </c>
      <c r="K83" s="7" t="n">
        <f aca="false">Parâmetros!$B$4+Parâmetros!$B$5*F83</f>
        <v>0.02</v>
      </c>
      <c r="L83" s="11" t="n">
        <f aca="false">D83*(1+G83)</f>
        <v>9239.76752601622</v>
      </c>
      <c r="M83" s="14" t="n">
        <v>0</v>
      </c>
      <c r="N83" s="4" t="n">
        <v>0.853333333333333</v>
      </c>
      <c r="O83" s="3" t="str">
        <f aca="false">IF(AND(B83=4,M83=1),IF(N83&lt;0.8,"Subgrupo 7 dias; fronteira de cluster","Subgrupo 7 dias"),IF(N83&lt;0.8,"Fronteira de cluster",""))</f>
        <v/>
      </c>
    </row>
    <row r="84" customFormat="false" ht="15" hidden="false" customHeight="false" outlineLevel="0" collapsed="false">
      <c r="A84" s="14" t="n">
        <v>83</v>
      </c>
      <c r="B84" s="14" t="n">
        <v>1</v>
      </c>
      <c r="C84" s="14" t="s">
        <v>30</v>
      </c>
      <c r="D84" s="15" t="n">
        <v>3887.70603337612</v>
      </c>
      <c r="E84" s="16" t="n">
        <f aca="false">INDEX(Parâmetros!$C$33:$C$37,MATCH(B84,Parâmetros!$A$33:$A$37,0))</f>
        <v>6959.92435130262</v>
      </c>
      <c r="F84" s="7" t="n">
        <f aca="false">MAX(0,(E84-D84)/D84)</f>
        <v>0.790239357490349</v>
      </c>
      <c r="G84" s="7" t="n">
        <f aca="false">MIN(K84*Parâmetros!$B$19,Parâmetros!$B$8)</f>
        <v>0.2</v>
      </c>
      <c r="H84" s="3" t="str">
        <f aca="false">IF(F84&gt;=Parâmetros!$B$6,"Ação","Acompanhamento")</f>
        <v>Ação</v>
      </c>
      <c r="I84" s="17" t="n">
        <v>301.841825902336</v>
      </c>
      <c r="J84" s="11" t="n">
        <f aca="false">D84*I84</f>
        <v>1173472.28768578</v>
      </c>
      <c r="K84" s="7" t="n">
        <f aca="false">Parâmetros!$B$4+Parâmetros!$B$5*F84</f>
        <v>0.217559839372587</v>
      </c>
      <c r="L84" s="11" t="n">
        <f aca="false">D84*(1+G84)</f>
        <v>4665.24724005135</v>
      </c>
      <c r="M84" s="14" t="n">
        <v>0</v>
      </c>
      <c r="N84" s="4" t="n">
        <v>1</v>
      </c>
      <c r="O84" s="3" t="str">
        <f aca="false">IF(AND(B84=4,M84=1),IF(N84&lt;0.8,"Subgrupo 7 dias; fronteira de cluster","Subgrupo 7 dias"),IF(N84&lt;0.8,"Fronteira de cluster",""))</f>
        <v/>
      </c>
    </row>
    <row r="85" customFormat="false" ht="15" hidden="false" customHeight="false" outlineLevel="0" collapsed="false">
      <c r="A85" s="14" t="n">
        <v>84</v>
      </c>
      <c r="B85" s="14" t="n">
        <v>1</v>
      </c>
      <c r="C85" s="14" t="s">
        <v>30</v>
      </c>
      <c r="D85" s="15" t="n">
        <v>12955.9974326059</v>
      </c>
      <c r="E85" s="16" t="n">
        <f aca="false">INDEX(Parâmetros!$C$33:$C$37,MATCH(B85,Parâmetros!$A$33:$A$37,0))</f>
        <v>6959.92435130262</v>
      </c>
      <c r="F85" s="7" t="n">
        <f aca="false">MAX(0,(E85-D85)/D85)</f>
        <v>0</v>
      </c>
      <c r="G85" s="7" t="n">
        <f aca="false">MIN(K85*Parâmetros!$B$19,Parâmetros!$B$8)</f>
        <v>0.0244038339849275</v>
      </c>
      <c r="H85" s="3" t="str">
        <f aca="false">IF(F85&gt;=Parâmetros!$B$6,"Ação","Acompanhamento")</f>
        <v>Acompanhamento</v>
      </c>
      <c r="I85" s="17" t="n">
        <v>301.841825902336</v>
      </c>
      <c r="J85" s="11" t="n">
        <f aca="false">D85*I85</f>
        <v>3910661.92144374</v>
      </c>
      <c r="K85" s="7" t="n">
        <f aca="false">Parâmetros!$B$4+Parâmetros!$B$5*F85</f>
        <v>0.02</v>
      </c>
      <c r="L85" s="11" t="n">
        <f aca="false">D85*(1+G85)</f>
        <v>13272.1734430604</v>
      </c>
      <c r="M85" s="14" t="n">
        <v>0</v>
      </c>
      <c r="N85" s="4" t="n">
        <v>0.86046511627907</v>
      </c>
      <c r="O85" s="3" t="str">
        <f aca="false">IF(AND(B85=4,M85=1),IF(N85&lt;0.8,"Subgrupo 7 dias; fronteira de cluster","Subgrupo 7 dias"),IF(N85&lt;0.8,"Fronteira de cluster",""))</f>
        <v/>
      </c>
    </row>
    <row r="86" customFormat="false" ht="15" hidden="false" customHeight="false" outlineLevel="0" collapsed="false">
      <c r="A86" s="14" t="n">
        <v>85</v>
      </c>
      <c r="B86" s="14" t="n">
        <v>4</v>
      </c>
      <c r="C86" s="14" t="s">
        <v>33</v>
      </c>
      <c r="D86" s="15" t="n">
        <v>7272.45435244161</v>
      </c>
      <c r="E86" s="16" t="n">
        <f aca="false">INDEX(Parâmetros!$C$33:$C$37,MATCH(B86,Parâmetros!$A$33:$A$37,0))</f>
        <v>8837.10512820513</v>
      </c>
      <c r="F86" s="7" t="n">
        <f aca="false">MAX(0,(E86-D86)/D86)</f>
        <v>0.215147555410672</v>
      </c>
      <c r="G86" s="7" t="n">
        <f aca="false">MIN(K86*Parâmetros!$B$19,Parâmetros!$B$8)</f>
        <v>0.0900341492912402</v>
      </c>
      <c r="H86" s="3" t="str">
        <f aca="false">IF(F86&gt;=Parâmetros!$B$6,"Ação","Acompanhamento")</f>
        <v>Ação</v>
      </c>
      <c r="I86" s="17" t="n">
        <v>365</v>
      </c>
      <c r="J86" s="11" t="n">
        <f aca="false">D86*I86</f>
        <v>2654445.83864119</v>
      </c>
      <c r="K86" s="7" t="n">
        <f aca="false">Parâmetros!$B$4+Parâmetros!$B$5*F86</f>
        <v>0.073786888852668</v>
      </c>
      <c r="L86" s="11" t="n">
        <f aca="false">D86*(1+G86)</f>
        <v>7927.22359332307</v>
      </c>
      <c r="M86" s="14" t="n">
        <v>1</v>
      </c>
      <c r="N86" s="4" t="n">
        <v>1</v>
      </c>
      <c r="O86" s="3" t="str">
        <f aca="false">IF(AND(B86=4,M86=1),IF(N86&lt;0.8,"Subgrupo 7 dias; fronteira de cluster","Subgrupo 7 dias"),IF(N86&lt;0.8,"Fronteira de cluster",""))</f>
        <v>Subgrupo 7 dias</v>
      </c>
    </row>
    <row r="87" customFormat="false" ht="15" hidden="false" customHeight="false" outlineLevel="0" collapsed="false">
      <c r="A87" s="14" t="n">
        <v>86</v>
      </c>
      <c r="B87" s="14" t="n">
        <v>0</v>
      </c>
      <c r="C87" s="14" t="s">
        <v>29</v>
      </c>
      <c r="D87" s="15" t="n">
        <v>4695.02185089974</v>
      </c>
      <c r="E87" s="16" t="n">
        <f aca="false">INDEX(Parâmetros!$C$33:$C$37,MATCH(B87,Parâmetros!$A$33:$A$37,0))</f>
        <v>5476.37033462034</v>
      </c>
      <c r="F87" s="7" t="n">
        <f aca="false">MAX(0,(E87-D87)/D87)</f>
        <v>0.166420627748698</v>
      </c>
      <c r="G87" s="7" t="n">
        <f aca="false">MIN(K87*Parâmetros!$B$19,Parâmetros!$B$8)</f>
        <v>0.0751701011255106</v>
      </c>
      <c r="H87" s="3" t="str">
        <f aca="false">IF(F87&gt;=Parâmetros!$B$6,"Ação","Acompanhamento")</f>
        <v>Ação</v>
      </c>
      <c r="I87" s="17" t="n">
        <v>301.454352441614</v>
      </c>
      <c r="J87" s="11" t="n">
        <f aca="false">D87*I87</f>
        <v>1415334.77176221</v>
      </c>
      <c r="K87" s="7" t="n">
        <f aca="false">Parâmetros!$B$4+Parâmetros!$B$5*F87</f>
        <v>0.0616051569371746</v>
      </c>
      <c r="L87" s="11" t="n">
        <f aca="false">D87*(1+G87)</f>
        <v>5047.94711821836</v>
      </c>
      <c r="M87" s="14" t="n">
        <v>0</v>
      </c>
      <c r="N87" s="4" t="n">
        <v>1</v>
      </c>
      <c r="O87" s="3" t="str">
        <f aca="false">IF(AND(B87=4,M87=1),IF(N87&lt;0.8,"Subgrupo 7 dias; fronteira de cluster","Subgrupo 7 dias"),IF(N87&lt;0.8,"Fronteira de cluster",""))</f>
        <v/>
      </c>
    </row>
    <row r="88" customFormat="false" ht="15" hidden="false" customHeight="false" outlineLevel="0" collapsed="false">
      <c r="A88" s="14" t="n">
        <v>87</v>
      </c>
      <c r="B88" s="14" t="n">
        <v>0</v>
      </c>
      <c r="C88" s="14" t="s">
        <v>29</v>
      </c>
      <c r="D88" s="15" t="n">
        <v>5865.16198979592</v>
      </c>
      <c r="E88" s="16" t="n">
        <f aca="false">INDEX(Parâmetros!$C$33:$C$37,MATCH(B88,Parâmetros!$A$33:$A$37,0))</f>
        <v>5476.37033462034</v>
      </c>
      <c r="F88" s="7" t="n">
        <f aca="false">MAX(0,(E88-D88)/D88)</f>
        <v>0</v>
      </c>
      <c r="G88" s="7" t="n">
        <f aca="false">MIN(K88*Parâmetros!$B$19,Parâmetros!$B$8)</f>
        <v>0.0244038339849275</v>
      </c>
      <c r="H88" s="3" t="str">
        <f aca="false">IF(F88&gt;=Parâmetros!$B$6,"Ação","Acompanhamento")</f>
        <v>Acompanhamento</v>
      </c>
      <c r="I88" s="17" t="n">
        <v>303.779193205945</v>
      </c>
      <c r="J88" s="11" t="n">
        <f aca="false">D88*I88</f>
        <v>1781714.17728238</v>
      </c>
      <c r="K88" s="7" t="n">
        <f aca="false">Parâmetros!$B$4+Parâmetros!$B$5*F88</f>
        <v>0.02</v>
      </c>
      <c r="L88" s="11" t="n">
        <f aca="false">D88*(1+G88)</f>
        <v>6008.2944292896</v>
      </c>
      <c r="M88" s="14" t="n">
        <v>0</v>
      </c>
      <c r="N88" s="4" t="n">
        <v>1</v>
      </c>
      <c r="O88" s="3" t="str">
        <f aca="false">IF(AND(B88=4,M88=1),IF(N88&lt;0.8,"Subgrupo 7 dias; fronteira de cluster","Subgrupo 7 dias"),IF(N88&lt;0.8,"Fronteira de cluster",""))</f>
        <v/>
      </c>
    </row>
    <row r="89" customFormat="false" ht="15" hidden="false" customHeight="false" outlineLevel="0" collapsed="false">
      <c r="A89" s="14" t="n">
        <v>88</v>
      </c>
      <c r="B89" s="14" t="n">
        <v>3</v>
      </c>
      <c r="C89" s="14" t="s">
        <v>32</v>
      </c>
      <c r="D89" s="15" t="n">
        <v>6024.43333333333</v>
      </c>
      <c r="E89" s="16" t="n">
        <f aca="false">INDEX(Parâmetros!$C$33:$C$37,MATCH(B89,Parâmetros!$A$33:$A$37,0))</f>
        <v>5909.24487179487</v>
      </c>
      <c r="F89" s="7" t="n">
        <f aca="false">MAX(0,(E89-D89)/D89)</f>
        <v>0</v>
      </c>
      <c r="G89" s="7" t="n">
        <f aca="false">MIN(K89*Parâmetros!$B$19,Parâmetros!$B$8)</f>
        <v>0.0244038339849275</v>
      </c>
      <c r="H89" s="3" t="str">
        <f aca="false">IF(F89&gt;=Parâmetros!$B$6,"Ação","Acompanhamento")</f>
        <v>Acompanhamento</v>
      </c>
      <c r="I89" s="17" t="n">
        <v>302.229299363057</v>
      </c>
      <c r="J89" s="11" t="n">
        <f aca="false">D89*I89</f>
        <v>1820760.26539278</v>
      </c>
      <c r="K89" s="7" t="n">
        <f aca="false">Parâmetros!$B$4+Parâmetros!$B$5*F89</f>
        <v>0.02</v>
      </c>
      <c r="L89" s="11" t="n">
        <f aca="false">D89*(1+G89)</f>
        <v>6171.45260425326</v>
      </c>
      <c r="M89" s="14" t="n">
        <v>0</v>
      </c>
      <c r="N89" s="4" t="n">
        <v>1</v>
      </c>
      <c r="O89" s="3" t="str">
        <f aca="false">IF(AND(B89=4,M89=1),IF(N89&lt;0.8,"Subgrupo 7 dias; fronteira de cluster","Subgrupo 7 dias"),IF(N89&lt;0.8,"Fronteira de cluster",""))</f>
        <v/>
      </c>
    </row>
    <row r="90" customFormat="false" ht="15" hidden="false" customHeight="false" outlineLevel="0" collapsed="false">
      <c r="A90" s="14" t="n">
        <v>89</v>
      </c>
      <c r="B90" s="14" t="n">
        <v>1</v>
      </c>
      <c r="C90" s="14" t="s">
        <v>30</v>
      </c>
      <c r="D90" s="15" t="n">
        <v>5971.33922829582</v>
      </c>
      <c r="E90" s="16" t="n">
        <f aca="false">INDEX(Parâmetros!$C$33:$C$37,MATCH(B90,Parâmetros!$A$33:$A$37,0))</f>
        <v>6959.92435130262</v>
      </c>
      <c r="F90" s="7" t="n">
        <f aca="false">MAX(0,(E90-D90)/D90)</f>
        <v>0.165555009556698</v>
      </c>
      <c r="G90" s="7" t="n">
        <f aca="false">MIN(K90*Parâmetros!$B$19,Parâmetros!$B$8)</f>
        <v>0.0749060460923617</v>
      </c>
      <c r="H90" s="3" t="str">
        <f aca="false">IF(F90&gt;=Parâmetros!$B$6,"Ação","Acompanhamento")</f>
        <v>Ação</v>
      </c>
      <c r="I90" s="17" t="n">
        <v>299.511873350924</v>
      </c>
      <c r="J90" s="11" t="n">
        <f aca="false">D90*I90</f>
        <v>1788486.99868074</v>
      </c>
      <c r="K90" s="7" t="n">
        <f aca="false">Parâmetros!$B$4+Parâmetros!$B$5*F90</f>
        <v>0.0613887523891745</v>
      </c>
      <c r="L90" s="11" t="n">
        <f aca="false">D90*(1+G90)</f>
        <v>6418.62863976367</v>
      </c>
      <c r="M90" s="14" t="n">
        <v>0</v>
      </c>
      <c r="N90" s="4" t="n">
        <v>0.959459459459459</v>
      </c>
      <c r="O90" s="3" t="str">
        <f aca="false">IF(AND(B90=4,M90=1),IF(N90&lt;0.8,"Subgrupo 7 dias; fronteira de cluster","Subgrupo 7 dias"),IF(N90&lt;0.8,"Fronteira de cluster",""))</f>
        <v/>
      </c>
    </row>
    <row r="91" customFormat="false" ht="15" hidden="false" customHeight="false" outlineLevel="0" collapsed="false">
      <c r="A91" s="14" t="n">
        <v>90</v>
      </c>
      <c r="B91" s="14" t="n">
        <v>4</v>
      </c>
      <c r="C91" s="14" t="s">
        <v>33</v>
      </c>
      <c r="D91" s="15" t="n">
        <v>8416.76863753213</v>
      </c>
      <c r="E91" s="16" t="n">
        <f aca="false">INDEX(Parâmetros!$C$33:$C$37,MATCH(B91,Parâmetros!$A$33:$A$37,0))</f>
        <v>8837.10512820513</v>
      </c>
      <c r="F91" s="7" t="n">
        <f aca="false">MAX(0,(E91-D91)/D91)</f>
        <v>0.0499403641438623</v>
      </c>
      <c r="G91" s="7" t="n">
        <f aca="false">MIN(K91*Parâmetros!$B$19,Parâmetros!$B$8)</f>
        <v>0.0396380384313479</v>
      </c>
      <c r="H91" s="3" t="str">
        <f aca="false">IF(F91&gt;=Parâmetros!$B$6,"Ação","Acompanhamento")</f>
        <v>Acompanhamento</v>
      </c>
      <c r="I91" s="17" t="n">
        <v>301.454352441614</v>
      </c>
      <c r="J91" s="11" t="n">
        <f aca="false">D91*I91</f>
        <v>2537271.53927813</v>
      </c>
      <c r="K91" s="7" t="n">
        <f aca="false">Parâmetros!$B$4+Parâmetros!$B$5*F91</f>
        <v>0.0324850910359656</v>
      </c>
      <c r="L91" s="11" t="n">
        <f aca="false">D91*(1+G91)</f>
        <v>8750.3928362544</v>
      </c>
      <c r="M91" s="14" t="n">
        <v>0</v>
      </c>
      <c r="N91" s="4" t="n">
        <v>0.976470588235294</v>
      </c>
      <c r="O91" s="3" t="str">
        <f aca="false">IF(AND(B91=4,M91=1),IF(N91&lt;0.8,"Subgrupo 7 dias; fronteira de cluster","Subgrupo 7 dias"),IF(N91&lt;0.8,"Fronteira de cluster",""))</f>
        <v/>
      </c>
    </row>
    <row r="92" customFormat="false" ht="15" hidden="false" customHeight="false" outlineLevel="0" collapsed="false">
      <c r="A92" s="14" t="n">
        <v>91</v>
      </c>
      <c r="B92" s="14" t="n">
        <v>0</v>
      </c>
      <c r="C92" s="14" t="s">
        <v>29</v>
      </c>
      <c r="D92" s="15" t="n">
        <v>5559.00257069409</v>
      </c>
      <c r="E92" s="16" t="n">
        <f aca="false">INDEX(Parâmetros!$C$33:$C$37,MATCH(B92,Parâmetros!$A$33:$A$37,0))</f>
        <v>5476.37033462034</v>
      </c>
      <c r="F92" s="7" t="n">
        <f aca="false">MAX(0,(E92-D92)/D92)</f>
        <v>0</v>
      </c>
      <c r="G92" s="7" t="n">
        <f aca="false">MIN(K92*Parâmetros!$B$19,Parâmetros!$B$8)</f>
        <v>0.0244038339849275</v>
      </c>
      <c r="H92" s="3" t="str">
        <f aca="false">IF(F92&gt;=Parâmetros!$B$6,"Ação","Acompanhamento")</f>
        <v>Acompanhamento</v>
      </c>
      <c r="I92" s="17" t="n">
        <v>301.454352441614</v>
      </c>
      <c r="J92" s="11" t="n">
        <f aca="false">D92*I92</f>
        <v>1675785.52016985</v>
      </c>
      <c r="K92" s="7" t="n">
        <f aca="false">Parâmetros!$B$4+Parâmetros!$B$5*F92</f>
        <v>0.02</v>
      </c>
      <c r="L92" s="11" t="n">
        <f aca="false">D92*(1+G92)</f>
        <v>5694.66354655109</v>
      </c>
      <c r="M92" s="14" t="n">
        <v>0</v>
      </c>
      <c r="N92" s="4" t="n">
        <v>0.864197530864198</v>
      </c>
      <c r="O92" s="3" t="str">
        <f aca="false">IF(AND(B92=4,M92=1),IF(N92&lt;0.8,"Subgrupo 7 dias; fronteira de cluster","Subgrupo 7 dias"),IF(N92&lt;0.8,"Fronteira de cluster",""))</f>
        <v/>
      </c>
    </row>
    <row r="93" customFormat="false" ht="15" hidden="false" customHeight="false" outlineLevel="0" collapsed="false">
      <c r="A93" s="14" t="n">
        <v>92</v>
      </c>
      <c r="B93" s="14" t="n">
        <v>0</v>
      </c>
      <c r="C93" s="14" t="s">
        <v>29</v>
      </c>
      <c r="D93" s="15" t="n">
        <v>5996.68421052632</v>
      </c>
      <c r="E93" s="16" t="n">
        <f aca="false">INDEX(Parâmetros!$C$33:$C$37,MATCH(B93,Parâmetros!$A$33:$A$37,0))</f>
        <v>5476.37033462034</v>
      </c>
      <c r="F93" s="7" t="n">
        <f aca="false">MAX(0,(E93-D93)/D93)</f>
        <v>0</v>
      </c>
      <c r="G93" s="7" t="n">
        <f aca="false">MIN(K93*Parâmetros!$B$19,Parâmetros!$B$8)</f>
        <v>0.0244038339849275</v>
      </c>
      <c r="H93" s="3" t="str">
        <f aca="false">IF(F93&gt;=Parâmetros!$B$6,"Ação","Acompanhamento")</f>
        <v>Acompanhamento</v>
      </c>
      <c r="I93" s="17" t="n">
        <v>301.841825902336</v>
      </c>
      <c r="J93" s="11" t="n">
        <f aca="false">D93*I93</f>
        <v>1810050.11146497</v>
      </c>
      <c r="K93" s="7" t="n">
        <f aca="false">Parâmetros!$B$4+Parâmetros!$B$5*F93</f>
        <v>0.02</v>
      </c>
      <c r="L93" s="11" t="n">
        <f aca="false">D93*(1+G93)</f>
        <v>6143.02629646004</v>
      </c>
      <c r="M93" s="14" t="n">
        <v>0</v>
      </c>
      <c r="N93" s="4" t="n">
        <v>1</v>
      </c>
      <c r="O93" s="3" t="str">
        <f aca="false">IF(AND(B93=4,M93=1),IF(N93&lt;0.8,"Subgrupo 7 dias; fronteira de cluster","Subgrupo 7 dias"),IF(N93&lt;0.8,"Fronteira de cluster",""))</f>
        <v/>
      </c>
    </row>
    <row r="94" customFormat="false" ht="15" hidden="false" customHeight="false" outlineLevel="0" collapsed="false">
      <c r="A94" s="14" t="n">
        <v>93</v>
      </c>
      <c r="B94" s="14" t="n">
        <v>3</v>
      </c>
      <c r="C94" s="14" t="s">
        <v>32</v>
      </c>
      <c r="D94" s="15" t="n">
        <v>5965.17586649551</v>
      </c>
      <c r="E94" s="16" t="n">
        <f aca="false">INDEX(Parâmetros!$C$33:$C$37,MATCH(B94,Parâmetros!$A$33:$A$37,0))</f>
        <v>5909.24487179487</v>
      </c>
      <c r="F94" s="7" t="n">
        <f aca="false">MAX(0,(E94-D94)/D94)</f>
        <v>0</v>
      </c>
      <c r="G94" s="7" t="n">
        <f aca="false">MIN(K94*Parâmetros!$B$19,Parâmetros!$B$8)</f>
        <v>0.0244038339849275</v>
      </c>
      <c r="H94" s="3" t="str">
        <f aca="false">IF(F94&gt;=Parâmetros!$B$6,"Ação","Acompanhamento")</f>
        <v>Acompanhamento</v>
      </c>
      <c r="I94" s="17" t="n">
        <v>301.841825902336</v>
      </c>
      <c r="J94" s="11" t="n">
        <f aca="false">D94*I94</f>
        <v>1800539.57537155</v>
      </c>
      <c r="K94" s="7" t="n">
        <f aca="false">Parâmetros!$B$4+Parâmetros!$B$5*F94</f>
        <v>0.02</v>
      </c>
      <c r="L94" s="11" t="n">
        <f aca="false">D94*(1+G94)</f>
        <v>6110.74902803236</v>
      </c>
      <c r="M94" s="14" t="n">
        <v>0</v>
      </c>
      <c r="N94" s="4" t="n">
        <v>1</v>
      </c>
      <c r="O94" s="3" t="str">
        <f aca="false">IF(AND(B94=4,M94=1),IF(N94&lt;0.8,"Subgrupo 7 dias; fronteira de cluster","Subgrupo 7 dias"),IF(N94&lt;0.8,"Fronteira de cluster",""))</f>
        <v/>
      </c>
    </row>
    <row r="95" customFormat="false" ht="15" hidden="false" customHeight="false" outlineLevel="0" collapsed="false">
      <c r="A95" s="14" t="n">
        <v>94</v>
      </c>
      <c r="B95" s="14" t="n">
        <v>1</v>
      </c>
      <c r="C95" s="14" t="s">
        <v>30</v>
      </c>
      <c r="D95" s="15" t="n">
        <v>7121.14377406932</v>
      </c>
      <c r="E95" s="16" t="n">
        <f aca="false">INDEX(Parâmetros!$C$33:$C$37,MATCH(B95,Parâmetros!$A$33:$A$37,0))</f>
        <v>6959.92435130262</v>
      </c>
      <c r="F95" s="7" t="n">
        <f aca="false">MAX(0,(E95-D95)/D95)</f>
        <v>0</v>
      </c>
      <c r="G95" s="7" t="n">
        <f aca="false">MIN(K95*Parâmetros!$B$19,Parâmetros!$B$8)</f>
        <v>0.0244038339849275</v>
      </c>
      <c r="H95" s="3" t="str">
        <f aca="false">IF(F95&gt;=Parâmetros!$B$6,"Ação","Acompanhamento")</f>
        <v>Acompanhamento</v>
      </c>
      <c r="I95" s="17" t="n">
        <v>301.841825902336</v>
      </c>
      <c r="J95" s="11" t="n">
        <f aca="false">D95*I95</f>
        <v>2149459.03927813</v>
      </c>
      <c r="K95" s="7" t="n">
        <f aca="false">Parâmetros!$B$4+Parâmetros!$B$5*F95</f>
        <v>0.02</v>
      </c>
      <c r="L95" s="11" t="n">
        <f aca="false">D95*(1+G95)</f>
        <v>7294.92698451451</v>
      </c>
      <c r="M95" s="14" t="n">
        <v>0</v>
      </c>
      <c r="N95" s="4" t="n">
        <v>1</v>
      </c>
      <c r="O95" s="3" t="str">
        <f aca="false">IF(AND(B95=4,M95=1),IF(N95&lt;0.8,"Subgrupo 7 dias; fronteira de cluster","Subgrupo 7 dias"),IF(N95&lt;0.8,"Fronteira de cluster",""))</f>
        <v/>
      </c>
    </row>
    <row r="96" customFormat="false" ht="15" hidden="false" customHeight="false" outlineLevel="0" collapsed="false">
      <c r="A96" s="14" t="n">
        <v>95</v>
      </c>
      <c r="B96" s="14" t="n">
        <v>3</v>
      </c>
      <c r="C96" s="14" t="s">
        <v>32</v>
      </c>
      <c r="D96" s="15" t="n">
        <v>7638.54358974359</v>
      </c>
      <c r="E96" s="16" t="n">
        <f aca="false">INDEX(Parâmetros!$C$33:$C$37,MATCH(B96,Parâmetros!$A$33:$A$37,0))</f>
        <v>5909.24487179487</v>
      </c>
      <c r="F96" s="7" t="n">
        <f aca="false">MAX(0,(E96-D96)/D96)</f>
        <v>0</v>
      </c>
      <c r="G96" s="7" t="n">
        <f aca="false">MIN(K96*Parâmetros!$B$19,Parâmetros!$B$8)</f>
        <v>0.0244038339849275</v>
      </c>
      <c r="H96" s="3" t="str">
        <f aca="false">IF(F96&gt;=Parâmetros!$B$6,"Ação","Acompanhamento")</f>
        <v>Acompanhamento</v>
      </c>
      <c r="I96" s="17" t="n">
        <v>302.229299363057</v>
      </c>
      <c r="J96" s="11" t="n">
        <f aca="false">D96*I96</f>
        <v>2308591.67728238</v>
      </c>
      <c r="K96" s="7" t="n">
        <f aca="false">Parâmetros!$B$4+Parâmetros!$B$5*F96</f>
        <v>0.02</v>
      </c>
      <c r="L96" s="11" t="n">
        <f aca="false">D96*(1+G96)</f>
        <v>7824.95333939433</v>
      </c>
      <c r="M96" s="14" t="n">
        <v>0</v>
      </c>
      <c r="N96" s="4" t="n">
        <v>0.75</v>
      </c>
      <c r="O96" s="3" t="str">
        <f aca="false">IF(AND(B96=4,M96=1),IF(N96&lt;0.8,"Subgrupo 7 dias; fronteira de cluster","Subgrupo 7 dias"),IF(N96&lt;0.8,"Fronteira de cluster",""))</f>
        <v>Fronteira de cluster</v>
      </c>
    </row>
    <row r="97" customFormat="false" ht="15" hidden="false" customHeight="false" outlineLevel="0" collapsed="false">
      <c r="A97" s="14" t="n">
        <v>96</v>
      </c>
      <c r="B97" s="14" t="n">
        <v>3</v>
      </c>
      <c r="C97" s="14" t="s">
        <v>32</v>
      </c>
      <c r="D97" s="15" t="n">
        <v>5176.88846153846</v>
      </c>
      <c r="E97" s="16" t="n">
        <f aca="false">INDEX(Parâmetros!$C$33:$C$37,MATCH(B97,Parâmetros!$A$33:$A$37,0))</f>
        <v>5909.24487179487</v>
      </c>
      <c r="F97" s="7" t="n">
        <f aca="false">MAX(0,(E97-D97)/D97)</f>
        <v>0.141466522931184</v>
      </c>
      <c r="G97" s="7" t="n">
        <f aca="false">MIN(K97*Parâmetros!$B$19,Parâmetros!$B$8)</f>
        <v>0.0675579032353967</v>
      </c>
      <c r="H97" s="3" t="str">
        <f aca="false">IF(F97&gt;=Parâmetros!$B$6,"Ação","Acompanhamento")</f>
        <v>Ação</v>
      </c>
      <c r="I97" s="17" t="n">
        <v>302.229299363057</v>
      </c>
      <c r="J97" s="11" t="n">
        <f aca="false">D97*I97</f>
        <v>1564607.37261146</v>
      </c>
      <c r="K97" s="7" t="n">
        <f aca="false">Parâmetros!$B$4+Parâmetros!$B$5*F97</f>
        <v>0.0553666307327959</v>
      </c>
      <c r="L97" s="11" t="n">
        <f aca="false">D97*(1+G97)</f>
        <v>5526.62819128352</v>
      </c>
      <c r="M97" s="14" t="n">
        <v>0</v>
      </c>
      <c r="N97" s="4" t="n">
        <v>1</v>
      </c>
      <c r="O97" s="3" t="str">
        <f aca="false">IF(AND(B97=4,M97=1),IF(N97&lt;0.8,"Subgrupo 7 dias; fronteira de cluster","Subgrupo 7 dias"),IF(N97&lt;0.8,"Fronteira de cluster",""))</f>
        <v/>
      </c>
    </row>
    <row r="98" customFormat="false" ht="15" hidden="false" customHeight="false" outlineLevel="0" collapsed="false">
      <c r="A98" s="14" t="n">
        <v>97</v>
      </c>
      <c r="B98" s="14" t="n">
        <v>3</v>
      </c>
      <c r="C98" s="14" t="s">
        <v>32</v>
      </c>
      <c r="D98" s="15" t="n">
        <v>6703.39615384615</v>
      </c>
      <c r="E98" s="16" t="n">
        <f aca="false">INDEX(Parâmetros!$C$33:$C$37,MATCH(B98,Parâmetros!$A$33:$A$37,0))</f>
        <v>5909.24487179487</v>
      </c>
      <c r="F98" s="7" t="n">
        <f aca="false">MAX(0,(E98-D98)/D98)</f>
        <v>0</v>
      </c>
      <c r="G98" s="7" t="n">
        <f aca="false">MIN(K98*Parâmetros!$B$19,Parâmetros!$B$8)</f>
        <v>0.0244038339849275</v>
      </c>
      <c r="H98" s="3" t="str">
        <f aca="false">IF(F98&gt;=Parâmetros!$B$6,"Ação","Acompanhamento")</f>
        <v>Acompanhamento</v>
      </c>
      <c r="I98" s="17" t="n">
        <v>302.229299363057</v>
      </c>
      <c r="J98" s="11" t="n">
        <f aca="false">D98*I98</f>
        <v>2025962.72292994</v>
      </c>
      <c r="K98" s="7" t="n">
        <f aca="false">Parâmetros!$B$4+Parâmetros!$B$5*F98</f>
        <v>0.02</v>
      </c>
      <c r="L98" s="11" t="n">
        <f aca="false">D98*(1+G98)</f>
        <v>6866.98472071982</v>
      </c>
      <c r="M98" s="14" t="n">
        <v>0</v>
      </c>
      <c r="N98" s="4" t="n">
        <v>0.925</v>
      </c>
      <c r="O98" s="3" t="str">
        <f aca="false">IF(AND(B98=4,M98=1),IF(N98&lt;0.8,"Subgrupo 7 dias; fronteira de cluster","Subgrupo 7 dias"),IF(N98&lt;0.8,"Fronteira de cluster",""))</f>
        <v/>
      </c>
    </row>
    <row r="99" customFormat="false" ht="15" hidden="false" customHeight="false" outlineLevel="0" collapsed="false">
      <c r="A99" s="14" t="n">
        <v>98</v>
      </c>
      <c r="B99" s="14" t="n">
        <v>1</v>
      </c>
      <c r="C99" s="14" t="s">
        <v>30</v>
      </c>
      <c r="D99" s="15" t="n">
        <v>5109.86392811297</v>
      </c>
      <c r="E99" s="16" t="n">
        <f aca="false">INDEX(Parâmetros!$C$33:$C$37,MATCH(B99,Parâmetros!$A$33:$A$37,0))</f>
        <v>6959.92435130262</v>
      </c>
      <c r="F99" s="7" t="n">
        <f aca="false">MAX(0,(E99-D99)/D99)</f>
        <v>0.362056690592321</v>
      </c>
      <c r="G99" s="7" t="n">
        <f aca="false">MIN(K99*Parâmetros!$B$19,Parâmetros!$B$8)</f>
        <v>0.134848476114268</v>
      </c>
      <c r="H99" s="3" t="str">
        <f aca="false">IF(F99&gt;=Parâmetros!$B$6,"Ação","Acompanhamento")</f>
        <v>Ação</v>
      </c>
      <c r="I99" s="17" t="n">
        <v>301.841825902336</v>
      </c>
      <c r="J99" s="11" t="n">
        <f aca="false">D99*I99</f>
        <v>1542370.6581741</v>
      </c>
      <c r="K99" s="7" t="n">
        <f aca="false">Parâmetros!$B$4+Parâmetros!$B$5*F99</f>
        <v>0.11051417264808</v>
      </c>
      <c r="L99" s="11" t="n">
        <f aca="false">D99*(1+G99)</f>
        <v>5798.92129197027</v>
      </c>
      <c r="M99" s="14" t="n">
        <v>0</v>
      </c>
      <c r="N99" s="4" t="n">
        <v>1</v>
      </c>
      <c r="O99" s="3" t="str">
        <f aca="false">IF(AND(B99=4,M99=1),IF(N99&lt;0.8,"Subgrupo 7 dias; fronteira de cluster","Subgrupo 7 dias"),IF(N99&lt;0.8,"Fronteira de cluster",""))</f>
        <v/>
      </c>
    </row>
    <row r="100" customFormat="false" ht="15" hidden="false" customHeight="false" outlineLevel="0" collapsed="false">
      <c r="A100" s="14" t="n">
        <v>99</v>
      </c>
      <c r="B100" s="14" t="n">
        <v>1</v>
      </c>
      <c r="C100" s="14" t="s">
        <v>30</v>
      </c>
      <c r="D100" s="15" t="n">
        <v>5130.52090032154</v>
      </c>
      <c r="E100" s="16" t="n">
        <f aca="false">INDEX(Parâmetros!$C$33:$C$37,MATCH(B100,Parâmetros!$A$33:$A$37,0))</f>
        <v>6959.92435130262</v>
      </c>
      <c r="F100" s="7" t="n">
        <f aca="false">MAX(0,(E100-D100)/D100)</f>
        <v>0.356572653444687</v>
      </c>
      <c r="G100" s="7" t="n">
        <f aca="false">MIN(K100*Parâmetros!$B$19,Parâmetros!$B$8)</f>
        <v>0.133175581962793</v>
      </c>
      <c r="H100" s="3" t="str">
        <f aca="false">IF(F100&gt;=Parâmetros!$B$6,"Ação","Acompanhamento")</f>
        <v>Ação</v>
      </c>
      <c r="I100" s="17" t="n">
        <v>299.511873350924</v>
      </c>
      <c r="J100" s="11" t="n">
        <f aca="false">D100*I100</f>
        <v>1536651.92612137</v>
      </c>
      <c r="K100" s="7" t="n">
        <f aca="false">Parâmetros!$B$4+Parâmetros!$B$5*F100</f>
        <v>0.109143163361172</v>
      </c>
      <c r="L100" s="11" t="n">
        <f aca="false">D100*(1+G100)</f>
        <v>5813.78100699414</v>
      </c>
      <c r="M100" s="14" t="n">
        <v>0</v>
      </c>
      <c r="N100" s="4" t="n">
        <v>1</v>
      </c>
      <c r="O100" s="3" t="str">
        <f aca="false">IF(AND(B100=4,M100=1),IF(N100&lt;0.8,"Subgrupo 7 dias; fronteira de cluster","Subgrupo 7 dias"),IF(N100&lt;0.8,"Fronteira de cluster",""))</f>
        <v/>
      </c>
    </row>
    <row r="101" customFormat="false" ht="15" hidden="false" customHeight="false" outlineLevel="0" collapsed="false">
      <c r="A101" s="14" t="n">
        <v>100</v>
      </c>
      <c r="B101" s="14" t="n">
        <v>1</v>
      </c>
      <c r="C101" s="14" t="s">
        <v>30</v>
      </c>
      <c r="D101" s="15" t="n">
        <v>7964.41254125413</v>
      </c>
      <c r="E101" s="16" t="n">
        <f aca="false">INDEX(Parâmetros!$C$33:$C$37,MATCH(B101,Parâmetros!$A$33:$A$37,0))</f>
        <v>6959.92435130262</v>
      </c>
      <c r="F101" s="7" t="n">
        <f aca="false">MAX(0,(E101-D101)/D101)</f>
        <v>0</v>
      </c>
      <c r="G101" s="7" t="n">
        <f aca="false">MIN(K101*Parâmetros!$B$19,Parâmetros!$B$8)</f>
        <v>0.0244038339849275</v>
      </c>
      <c r="H101" s="3" t="str">
        <f aca="false">IF(F101&gt;=Parâmetros!$B$6,"Ação","Acompanhamento")</f>
        <v>Acompanhamento</v>
      </c>
      <c r="I101" s="17" t="n">
        <v>291.807387862797</v>
      </c>
      <c r="J101" s="11" t="n">
        <f aca="false">D101*I101</f>
        <v>2324074.41952507</v>
      </c>
      <c r="K101" s="7" t="n">
        <f aca="false">Parâmetros!$B$4+Parâmetros!$B$5*F101</f>
        <v>0.02</v>
      </c>
      <c r="L101" s="11" t="n">
        <f aca="false">D101*(1+G101)</f>
        <v>8158.77474269837</v>
      </c>
      <c r="M101" s="14" t="n">
        <v>0</v>
      </c>
      <c r="N101" s="4" t="n">
        <v>1</v>
      </c>
      <c r="O101" s="3" t="str">
        <f aca="false">IF(AND(B101=4,M101=1),IF(N101&lt;0.8,"Subgrupo 7 dias; fronteira de cluster","Subgrupo 7 dias"),IF(N101&lt;0.8,"Fronteira de cluster",""))</f>
        <v/>
      </c>
    </row>
    <row r="102" customFormat="false" ht="15" hidden="false" customHeight="false" outlineLevel="0" collapsed="false">
      <c r="A102" s="14" t="n">
        <v>101</v>
      </c>
      <c r="B102" s="14" t="n">
        <v>1</v>
      </c>
      <c r="C102" s="14" t="s">
        <v>30</v>
      </c>
      <c r="D102" s="15" t="n">
        <v>7469.87755102041</v>
      </c>
      <c r="E102" s="16" t="n">
        <f aca="false">INDEX(Parâmetros!$C$33:$C$37,MATCH(B102,Parâmetros!$A$33:$A$37,0))</f>
        <v>6959.92435130262</v>
      </c>
      <c r="F102" s="7" t="n">
        <f aca="false">MAX(0,(E102-D102)/D102)</f>
        <v>0</v>
      </c>
      <c r="G102" s="7" t="n">
        <f aca="false">MIN(K102*Parâmetros!$B$19,Parâmetros!$B$8)</f>
        <v>0.0244038339849275</v>
      </c>
      <c r="H102" s="3" t="str">
        <f aca="false">IF(F102&gt;=Parâmetros!$B$6,"Ação","Acompanhamento")</f>
        <v>Acompanhamento</v>
      </c>
      <c r="I102" s="17" t="n">
        <v>303.779193205945</v>
      </c>
      <c r="J102" s="11" t="n">
        <f aca="false">D102*I102</f>
        <v>2269193.37579618</v>
      </c>
      <c r="K102" s="7" t="n">
        <f aca="false">Parâmetros!$B$4+Parâmetros!$B$5*F102</f>
        <v>0.02</v>
      </c>
      <c r="L102" s="11" t="n">
        <f aca="false">D102*(1+G102)</f>
        <v>7652.17120266325</v>
      </c>
      <c r="M102" s="14" t="n">
        <v>0</v>
      </c>
      <c r="N102" s="4" t="n">
        <v>1</v>
      </c>
      <c r="O102" s="3" t="str">
        <f aca="false">IF(AND(B102=4,M102=1),IF(N102&lt;0.8,"Subgrupo 7 dias; fronteira de cluster","Subgrupo 7 dias"),IF(N102&lt;0.8,"Fronteira de cluster",""))</f>
        <v/>
      </c>
    </row>
    <row r="103" customFormat="false" ht="15" hidden="false" customHeight="false" outlineLevel="0" collapsed="false">
      <c r="A103" s="14" t="n">
        <v>102</v>
      </c>
      <c r="B103" s="14" t="n">
        <v>0</v>
      </c>
      <c r="C103" s="14" t="s">
        <v>29</v>
      </c>
      <c r="D103" s="15" t="n">
        <v>7079.5266579974</v>
      </c>
      <c r="E103" s="16" t="n">
        <f aca="false">INDEX(Parâmetros!$C$33:$C$37,MATCH(B103,Parâmetros!$A$33:$A$37,0))</f>
        <v>5476.37033462034</v>
      </c>
      <c r="F103" s="7" t="n">
        <f aca="false">MAX(0,(E103-D103)/D103)</f>
        <v>0</v>
      </c>
      <c r="G103" s="7" t="n">
        <f aca="false">MIN(K103*Parâmetros!$B$19,Parâmetros!$B$8)</f>
        <v>0.0244038339849275</v>
      </c>
      <c r="H103" s="3" t="str">
        <f aca="false">IF(F103&gt;=Parâmetros!$B$6,"Ação","Acompanhamento")</f>
        <v>Acompanhamento</v>
      </c>
      <c r="I103" s="17" t="n">
        <v>298.742038216561</v>
      </c>
      <c r="J103" s="11" t="n">
        <f aca="false">D103*I103</f>
        <v>2114952.22341862</v>
      </c>
      <c r="K103" s="7" t="n">
        <f aca="false">Parâmetros!$B$4+Parâmetros!$B$5*F103</f>
        <v>0.02</v>
      </c>
      <c r="L103" s="11" t="n">
        <f aca="false">D103*(1+G103)</f>
        <v>7252.29425125104</v>
      </c>
      <c r="M103" s="14" t="n">
        <v>0</v>
      </c>
      <c r="N103" s="4" t="n">
        <v>0.972222222222222</v>
      </c>
      <c r="O103" s="3" t="str">
        <f aca="false">IF(AND(B103=4,M103=1),IF(N103&lt;0.8,"Subgrupo 7 dias; fronteira de cluster","Subgrupo 7 dias"),IF(N103&lt;0.8,"Fronteira de cluster",""))</f>
        <v/>
      </c>
    </row>
    <row r="104" customFormat="false" ht="15" hidden="false" customHeight="false" outlineLevel="0" collapsed="false">
      <c r="A104" s="14" t="n">
        <v>103</v>
      </c>
      <c r="B104" s="14" t="n">
        <v>1</v>
      </c>
      <c r="C104" s="14" t="s">
        <v>30</v>
      </c>
      <c r="D104" s="15" t="n">
        <v>4689.49762282092</v>
      </c>
      <c r="E104" s="16" t="n">
        <f aca="false">INDEX(Parâmetros!$C$33:$C$37,MATCH(B104,Parâmetros!$A$33:$A$37,0))</f>
        <v>6959.92435130262</v>
      </c>
      <c r="F104" s="7" t="n">
        <f aca="false">MAX(0,(E104-D104)/D104)</f>
        <v>0.484151376350619</v>
      </c>
      <c r="G104" s="7" t="n">
        <f aca="false">MIN(K104*Parâmetros!$B$19,Parâmetros!$B$8)</f>
        <v>0.17209320663536</v>
      </c>
      <c r="H104" s="3" t="str">
        <f aca="false">IF(F104&gt;=Parâmetros!$B$6,"Ação","Acompanhamento")</f>
        <v>Ação</v>
      </c>
      <c r="I104" s="17" t="n">
        <v>244.495753715499</v>
      </c>
      <c r="J104" s="11" t="n">
        <f aca="false">D104*I104</f>
        <v>1146562.25583864</v>
      </c>
      <c r="K104" s="7" t="n">
        <f aca="false">Parâmetros!$B$4+Parâmetros!$B$5*F104</f>
        <v>0.141037844087655</v>
      </c>
      <c r="L104" s="11" t="n">
        <f aca="false">D104*(1+G104)</f>
        <v>5496.52830624107</v>
      </c>
      <c r="M104" s="14" t="n">
        <v>0</v>
      </c>
      <c r="N104" s="4" t="n">
        <v>1</v>
      </c>
      <c r="O104" s="3" t="str">
        <f aca="false">IF(AND(B104=4,M104=1),IF(N104&lt;0.8,"Subgrupo 7 dias; fronteira de cluster","Subgrupo 7 dias"),IF(N104&lt;0.8,"Fronteira de cluster",""))</f>
        <v/>
      </c>
    </row>
    <row r="105" customFormat="false" ht="15" hidden="false" customHeight="false" outlineLevel="0" collapsed="false">
      <c r="A105" s="14" t="n">
        <v>104</v>
      </c>
      <c r="B105" s="14" t="n">
        <v>4</v>
      </c>
      <c r="C105" s="14" t="s">
        <v>33</v>
      </c>
      <c r="D105" s="15" t="n">
        <v>10126.5369897959</v>
      </c>
      <c r="E105" s="16" t="n">
        <f aca="false">INDEX(Parâmetros!$C$33:$C$37,MATCH(B105,Parâmetros!$A$33:$A$37,0))</f>
        <v>8837.10512820513</v>
      </c>
      <c r="F105" s="7" t="n">
        <f aca="false">MAX(0,(E105-D105)/D105)</f>
        <v>0</v>
      </c>
      <c r="G105" s="7" t="n">
        <f aca="false">MIN(K105*Parâmetros!$B$19,Parâmetros!$B$8)</f>
        <v>0.0244038339849275</v>
      </c>
      <c r="H105" s="3" t="str">
        <f aca="false">IF(F105&gt;=Parâmetros!$B$6,"Ação","Acompanhamento")</f>
        <v>Acompanhamento</v>
      </c>
      <c r="I105" s="17" t="n">
        <v>303.779193205945</v>
      </c>
      <c r="J105" s="11" t="n">
        <f aca="false">D105*I105</f>
        <v>3076231.23673036</v>
      </c>
      <c r="K105" s="7" t="n">
        <f aca="false">Parâmetros!$B$4+Parâmetros!$B$5*F105</f>
        <v>0.02</v>
      </c>
      <c r="L105" s="11" t="n">
        <f aca="false">D105*(1+G105)</f>
        <v>10373.6633173371</v>
      </c>
      <c r="M105" s="14" t="n">
        <v>0</v>
      </c>
      <c r="N105" s="4" t="n">
        <v>1</v>
      </c>
      <c r="O105" s="3" t="str">
        <f aca="false">IF(AND(B105=4,M105=1),IF(N105&lt;0.8,"Subgrupo 7 dias; fronteira de cluster","Subgrupo 7 dias"),IF(N105&lt;0.8,"Fronteira de cluster",""))</f>
        <v/>
      </c>
    </row>
    <row r="106" customFormat="false" ht="15" hidden="false" customHeight="false" outlineLevel="0" collapsed="false">
      <c r="A106" s="14" t="n">
        <v>105</v>
      </c>
      <c r="B106" s="14" t="n">
        <v>2</v>
      </c>
      <c r="C106" s="14" t="s">
        <v>31</v>
      </c>
      <c r="D106" s="15" t="n">
        <v>4441.36737400531</v>
      </c>
      <c r="E106" s="16" t="n">
        <f aca="false">INDEX(Parâmetros!$C$33:$C$37,MATCH(B106,Parâmetros!$A$33:$A$37,0))</f>
        <v>6324.80102695764</v>
      </c>
      <c r="F106" s="7" t="n">
        <f aca="false">MAX(0,(E106-D106)/D106)</f>
        <v>0.424066170246534</v>
      </c>
      <c r="G106" s="7" t="n">
        <f aca="false">MIN(K106*Parâmetros!$B$19,Parâmetros!$B$8)</f>
        <v>0.153764339201432</v>
      </c>
      <c r="H106" s="3" t="str">
        <f aca="false">IF(F106&gt;=Parâmetros!$B$6,"Ação","Acompanhamento")</f>
        <v>Ação</v>
      </c>
      <c r="I106" s="17" t="n">
        <v>292.154989384289</v>
      </c>
      <c r="J106" s="11" t="n">
        <f aca="false">D106*I106</f>
        <v>1297567.63800425</v>
      </c>
      <c r="K106" s="7" t="n">
        <f aca="false">Parâmetros!$B$4+Parâmetros!$B$5*F106</f>
        <v>0.126016542561633</v>
      </c>
      <c r="L106" s="11" t="n">
        <f aca="false">D106*(1+G106)</f>
        <v>5124.29129342003</v>
      </c>
      <c r="M106" s="14" t="n">
        <v>0</v>
      </c>
      <c r="N106" s="4" t="n">
        <v>0.962962962962963</v>
      </c>
      <c r="O106" s="3" t="str">
        <f aca="false">IF(AND(B106=4,M106=1),IF(N106&lt;0.8,"Subgrupo 7 dias; fronteira de cluster","Subgrupo 7 dias"),IF(N106&lt;0.8,"Fronteira de cluster",""))</f>
        <v/>
      </c>
    </row>
    <row r="107" customFormat="false" ht="15" hidden="false" customHeight="false" outlineLevel="0" collapsed="false">
      <c r="A107" s="14" t="n">
        <v>106</v>
      </c>
      <c r="B107" s="14" t="n">
        <v>1</v>
      </c>
      <c r="C107" s="14" t="s">
        <v>30</v>
      </c>
      <c r="D107" s="15" t="n">
        <v>8668.81935483871</v>
      </c>
      <c r="E107" s="16" t="n">
        <f aca="false">INDEX(Parâmetros!$C$33:$C$37,MATCH(B107,Parâmetros!$A$33:$A$37,0))</f>
        <v>6959.92435130262</v>
      </c>
      <c r="F107" s="7" t="n">
        <f aca="false">MAX(0,(E107-D107)/D107)</f>
        <v>0</v>
      </c>
      <c r="G107" s="7" t="n">
        <f aca="false">MIN(K107*Parâmetros!$B$19,Parâmetros!$B$8)</f>
        <v>0.0244038339849275</v>
      </c>
      <c r="H107" s="3" t="str">
        <f aca="false">IF(F107&gt;=Parâmetros!$B$6,"Ação","Acompanhamento")</f>
        <v>Acompanhamento</v>
      </c>
      <c r="I107" s="17" t="n">
        <v>300.291932059448</v>
      </c>
      <c r="J107" s="11" t="n">
        <f aca="false">D107*I107</f>
        <v>2603176.51273885</v>
      </c>
      <c r="K107" s="7" t="n">
        <f aca="false">Parâmetros!$B$4+Parâmetros!$B$5*F107</f>
        <v>0.02</v>
      </c>
      <c r="L107" s="11" t="n">
        <f aca="false">D107*(1+G107)</f>
        <v>8880.37178321952</v>
      </c>
      <c r="M107" s="14" t="n">
        <v>0</v>
      </c>
      <c r="N107" s="4" t="n">
        <v>0.987951807228916</v>
      </c>
      <c r="O107" s="3" t="str">
        <f aca="false">IF(AND(B107=4,M107=1),IF(N107&lt;0.8,"Subgrupo 7 dias; fronteira de cluster","Subgrupo 7 dias"),IF(N107&lt;0.8,"Fronteira de cluster",""))</f>
        <v/>
      </c>
    </row>
    <row r="108" customFormat="false" ht="15" hidden="false" customHeight="false" outlineLevel="0" collapsed="false">
      <c r="A108" s="14" t="n">
        <v>107</v>
      </c>
      <c r="B108" s="14" t="n">
        <v>4</v>
      </c>
      <c r="C108" s="14" t="s">
        <v>33</v>
      </c>
      <c r="D108" s="15" t="n">
        <v>7336.58928571429</v>
      </c>
      <c r="E108" s="16" t="n">
        <f aca="false">INDEX(Parâmetros!$C$33:$C$37,MATCH(B108,Parâmetros!$A$33:$A$37,0))</f>
        <v>8837.10512820513</v>
      </c>
      <c r="F108" s="7" t="n">
        <f aca="false">MAX(0,(E108-D108)/D108)</f>
        <v>0.204524988936293</v>
      </c>
      <c r="G108" s="7" t="n">
        <f aca="false">MIN(K108*Parâmetros!$B$19,Parâmetros!$B$8)</f>
        <v>0.0867937574320578</v>
      </c>
      <c r="H108" s="3" t="str">
        <f aca="false">IF(F108&gt;=Parâmetros!$B$6,"Ação","Acompanhamento")</f>
        <v>Ação</v>
      </c>
      <c r="I108" s="17" t="n">
        <v>303.779193205945</v>
      </c>
      <c r="J108" s="11" t="n">
        <f aca="false">D108*I108</f>
        <v>2228703.17409766</v>
      </c>
      <c r="K108" s="7" t="n">
        <f aca="false">Parâmetros!$B$4+Parâmetros!$B$5*F108</f>
        <v>0.0711312472340734</v>
      </c>
      <c r="L108" s="11" t="n">
        <f aca="false">D108*(1+G108)</f>
        <v>7973.35943655721</v>
      </c>
      <c r="M108" s="14" t="n">
        <v>0</v>
      </c>
      <c r="N108" s="4" t="n">
        <v>1</v>
      </c>
      <c r="O108" s="3" t="str">
        <f aca="false">IF(AND(B108=4,M108=1),IF(N108&lt;0.8,"Subgrupo 7 dias; fronteira de cluster","Subgrupo 7 dias"),IF(N108&lt;0.8,"Fronteira de cluster",""))</f>
        <v/>
      </c>
    </row>
    <row r="109" customFormat="false" ht="15" hidden="false" customHeight="false" outlineLevel="0" collapsed="false">
      <c r="A109" s="14" t="n">
        <v>108</v>
      </c>
      <c r="B109" s="14" t="n">
        <v>1</v>
      </c>
      <c r="C109" s="14" t="s">
        <v>30</v>
      </c>
      <c r="D109" s="15" t="n">
        <v>11035.3601286174</v>
      </c>
      <c r="E109" s="16" t="n">
        <f aca="false">INDEX(Parâmetros!$C$33:$C$37,MATCH(B109,Parâmetros!$A$33:$A$37,0))</f>
        <v>6959.92435130262</v>
      </c>
      <c r="F109" s="7" t="n">
        <f aca="false">MAX(0,(E109-D109)/D109)</f>
        <v>0</v>
      </c>
      <c r="G109" s="7" t="n">
        <f aca="false">MIN(K109*Parâmetros!$B$19,Parâmetros!$B$8)</f>
        <v>0.0244038339849275</v>
      </c>
      <c r="H109" s="3" t="str">
        <f aca="false">IF(F109&gt;=Parâmetros!$B$6,"Ação","Acompanhamento")</f>
        <v>Acompanhamento</v>
      </c>
      <c r="I109" s="17" t="n">
        <v>299.511873350924</v>
      </c>
      <c r="J109" s="11" t="n">
        <f aca="false">D109*I109</f>
        <v>3305221.38522427</v>
      </c>
      <c r="K109" s="7" t="n">
        <f aca="false">Parâmetros!$B$4+Parâmetros!$B$5*F109</f>
        <v>0.02</v>
      </c>
      <c r="L109" s="11" t="n">
        <f aca="false">D109*(1+G109)</f>
        <v>11304.66522516</v>
      </c>
      <c r="M109" s="14" t="n">
        <v>0</v>
      </c>
      <c r="N109" s="4" t="n">
        <v>1</v>
      </c>
      <c r="O109" s="3" t="str">
        <f aca="false">IF(AND(B109=4,M109=1),IF(N109&lt;0.8,"Subgrupo 7 dias; fronteira de cluster","Subgrupo 7 dias"),IF(N109&lt;0.8,"Fronteira de cluster",""))</f>
        <v/>
      </c>
    </row>
    <row r="110" customFormat="false" ht="15" hidden="false" customHeight="false" outlineLevel="0" collapsed="false">
      <c r="A110" s="14" t="n">
        <v>109</v>
      </c>
      <c r="B110" s="14" t="n">
        <v>1</v>
      </c>
      <c r="C110" s="14" t="s">
        <v>30</v>
      </c>
      <c r="D110" s="15" t="n">
        <v>6464.32397959184</v>
      </c>
      <c r="E110" s="16" t="n">
        <f aca="false">INDEX(Parâmetros!$C$33:$C$37,MATCH(B110,Parâmetros!$A$33:$A$37,0))</f>
        <v>6959.92435130262</v>
      </c>
      <c r="F110" s="7" t="n">
        <f aca="false">MAX(0,(E110-D110)/D110)</f>
        <v>0.0766670069871833</v>
      </c>
      <c r="G110" s="7" t="n">
        <f aca="false">MIN(K110*Parâmetros!$B$19,Parâmetros!$B$8)</f>
        <v>0.0477909453678836</v>
      </c>
      <c r="H110" s="3" t="str">
        <f aca="false">IF(F110&gt;=Parâmetros!$B$6,"Ação","Acompanhamento")</f>
        <v>Acompanhamento</v>
      </c>
      <c r="I110" s="17" t="n">
        <v>303.779193205945</v>
      </c>
      <c r="J110" s="11" t="n">
        <f aca="false">D110*I110</f>
        <v>1963727.12314225</v>
      </c>
      <c r="K110" s="7" t="n">
        <f aca="false">Parâmetros!$B$4+Parâmetros!$B$5*F110</f>
        <v>0.0391667517467958</v>
      </c>
      <c r="L110" s="11" t="n">
        <f aca="false">D110*(1+G110)</f>
        <v>6773.26013374081</v>
      </c>
      <c r="M110" s="14" t="n">
        <v>0</v>
      </c>
      <c r="N110" s="4" t="n">
        <v>1</v>
      </c>
      <c r="O110" s="3" t="str">
        <f aca="false">IF(AND(B110=4,M110=1),IF(N110&lt;0.8,"Subgrupo 7 dias; fronteira de cluster","Subgrupo 7 dias"),IF(N110&lt;0.8,"Fronteira de cluster",""))</f>
        <v/>
      </c>
    </row>
    <row r="111" customFormat="false" ht="15" hidden="false" customHeight="false" outlineLevel="0" collapsed="false">
      <c r="A111" s="14" t="n">
        <v>110</v>
      </c>
      <c r="B111" s="14" t="n">
        <v>2</v>
      </c>
      <c r="C111" s="14" t="s">
        <v>31</v>
      </c>
      <c r="D111" s="15" t="n">
        <v>4534.42984693878</v>
      </c>
      <c r="E111" s="16" t="n">
        <f aca="false">INDEX(Parâmetros!$C$33:$C$37,MATCH(B111,Parâmetros!$A$33:$A$37,0))</f>
        <v>6324.80102695764</v>
      </c>
      <c r="F111" s="7" t="n">
        <f aca="false">MAX(0,(E111-D111)/D111)</f>
        <v>0.394839316177215</v>
      </c>
      <c r="G111" s="7" t="n">
        <f aca="false">MIN(K111*Parâmetros!$B$19,Parâmetros!$B$8)</f>
        <v>0.144848748018816</v>
      </c>
      <c r="H111" s="3" t="str">
        <f aca="false">IF(F111&gt;=Parâmetros!$B$6,"Ação","Acompanhamento")</f>
        <v>Ação</v>
      </c>
      <c r="I111" s="17" t="n">
        <v>303.779193205945</v>
      </c>
      <c r="J111" s="11" t="n">
        <f aca="false">D111*I111</f>
        <v>1377465.44055202</v>
      </c>
      <c r="K111" s="7" t="n">
        <f aca="false">Parâmetros!$B$4+Parâmetros!$B$5*F111</f>
        <v>0.118709829044304</v>
      </c>
      <c r="L111" s="11" t="n">
        <f aca="false">D111*(1+G111)</f>
        <v>5191.23633324701</v>
      </c>
      <c r="M111" s="14" t="n">
        <v>0</v>
      </c>
      <c r="N111" s="4" t="n">
        <v>0.943181818181818</v>
      </c>
      <c r="O111" s="3" t="str">
        <f aca="false">IF(AND(B111=4,M111=1),IF(N111&lt;0.8,"Subgrupo 7 dias; fronteira de cluster","Subgrupo 7 dias"),IF(N111&lt;0.8,"Fronteira de cluster",""))</f>
        <v/>
      </c>
    </row>
    <row r="112" customFormat="false" ht="15" hidden="false" customHeight="false" outlineLevel="0" collapsed="false">
      <c r="A112" s="14" t="n">
        <v>111</v>
      </c>
      <c r="B112" s="14" t="n">
        <v>1</v>
      </c>
      <c r="C112" s="14" t="s">
        <v>30</v>
      </c>
      <c r="D112" s="15" t="n">
        <v>6771.74519846351</v>
      </c>
      <c r="E112" s="16" t="n">
        <f aca="false">INDEX(Parâmetros!$C$33:$C$37,MATCH(B112,Parâmetros!$A$33:$A$37,0))</f>
        <v>6959.92435130262</v>
      </c>
      <c r="F112" s="7" t="n">
        <f aca="false">MAX(0,(E112-D112)/D112)</f>
        <v>0.0277888708632762</v>
      </c>
      <c r="G112" s="7" t="n">
        <f aca="false">MIN(K112*Parâmetros!$B$19,Parâmetros!$B$8)</f>
        <v>0.0328807713746272</v>
      </c>
      <c r="H112" s="3" t="str">
        <f aca="false">IF(F112&gt;=Parâmetros!$B$6,"Ação","Acompanhamento")</f>
        <v>Acompanhamento</v>
      </c>
      <c r="I112" s="17" t="n">
        <v>302.616772823779</v>
      </c>
      <c r="J112" s="11" t="n">
        <f aca="false">D112*I112</f>
        <v>2049243.67834395</v>
      </c>
      <c r="K112" s="7" t="n">
        <f aca="false">Parâmetros!$B$4+Parâmetros!$B$5*F112</f>
        <v>0.0269472177158191</v>
      </c>
      <c r="L112" s="11" t="n">
        <f aca="false">D112*(1+G112)</f>
        <v>6994.40540414142</v>
      </c>
      <c r="M112" s="14" t="n">
        <v>0</v>
      </c>
      <c r="N112" s="4" t="n">
        <v>1</v>
      </c>
      <c r="O112" s="3" t="str">
        <f aca="false">IF(AND(B112=4,M112=1),IF(N112&lt;0.8,"Subgrupo 7 dias; fronteira de cluster","Subgrupo 7 dias"),IF(N112&lt;0.8,"Fronteira de cluster",""))</f>
        <v/>
      </c>
    </row>
    <row r="113" customFormat="false" ht="15" hidden="false" customHeight="false" outlineLevel="0" collapsed="false">
      <c r="A113" s="14" t="n">
        <v>112</v>
      </c>
      <c r="B113" s="14" t="n">
        <v>4</v>
      </c>
      <c r="C113" s="14" t="s">
        <v>33</v>
      </c>
      <c r="D113" s="15" t="n">
        <v>6229.44897959184</v>
      </c>
      <c r="E113" s="16" t="n">
        <f aca="false">INDEX(Parâmetros!$C$33:$C$37,MATCH(B113,Parâmetros!$A$33:$A$37,0))</f>
        <v>8837.10512820513</v>
      </c>
      <c r="F113" s="7" t="n">
        <f aca="false">MAX(0,(E113-D113)/D113)</f>
        <v>0.41860141356903</v>
      </c>
      <c r="G113" s="7" t="n">
        <f aca="false">MIN(K113*Parâmetros!$B$19,Parâmetros!$B$8)</f>
        <v>0.152097326517359</v>
      </c>
      <c r="H113" s="3" t="str">
        <f aca="false">IF(F113&gt;=Parâmetros!$B$6,"Ação","Acompanhamento")</f>
        <v>Ação</v>
      </c>
      <c r="I113" s="17" t="n">
        <v>303.779193205945</v>
      </c>
      <c r="J113" s="11" t="n">
        <f aca="false">D113*I113</f>
        <v>1892376.985138</v>
      </c>
      <c r="K113" s="7" t="n">
        <f aca="false">Parâmetros!$B$4+Parâmetros!$B$5*F113</f>
        <v>0.124650353392257</v>
      </c>
      <c r="L113" s="11" t="n">
        <f aca="false">D113*(1+G113)</f>
        <v>7176.93151506405</v>
      </c>
      <c r="M113" s="14" t="n">
        <v>0</v>
      </c>
      <c r="N113" s="4" t="n">
        <v>1</v>
      </c>
      <c r="O113" s="3" t="str">
        <f aca="false">IF(AND(B113=4,M113=1),IF(N113&lt;0.8,"Subgrupo 7 dias; fronteira de cluster","Subgrupo 7 dias"),IF(N113&lt;0.8,"Fronteira de cluster",""))</f>
        <v/>
      </c>
    </row>
    <row r="114" customFormat="false" ht="15" hidden="false" customHeight="false" outlineLevel="0" collapsed="false">
      <c r="A114" s="14" t="n">
        <v>113</v>
      </c>
      <c r="B114" s="14" t="n">
        <v>1</v>
      </c>
      <c r="C114" s="14" t="s">
        <v>30</v>
      </c>
      <c r="D114" s="15" t="n">
        <v>7199.07717041801</v>
      </c>
      <c r="E114" s="16" t="n">
        <f aca="false">INDEX(Parâmetros!$C$33:$C$37,MATCH(B114,Parâmetros!$A$33:$A$37,0))</f>
        <v>6959.92435130262</v>
      </c>
      <c r="F114" s="7" t="n">
        <f aca="false">MAX(0,(E114-D114)/D114)</f>
        <v>0</v>
      </c>
      <c r="G114" s="7" t="n">
        <f aca="false">MIN(K114*Parâmetros!$B$19,Parâmetros!$B$8)</f>
        <v>0.0244038339849275</v>
      </c>
      <c r="H114" s="3" t="str">
        <f aca="false">IF(F114&gt;=Parâmetros!$B$6,"Ação","Acompanhamento")</f>
        <v>Acompanhamento</v>
      </c>
      <c r="I114" s="17" t="n">
        <v>299.511873350924</v>
      </c>
      <c r="J114" s="11" t="n">
        <f aca="false">D114*I114</f>
        <v>2156209.08970976</v>
      </c>
      <c r="K114" s="7" t="n">
        <f aca="false">Parâmetros!$B$4+Parâmetros!$B$5*F114</f>
        <v>0.02</v>
      </c>
      <c r="L114" s="11" t="n">
        <f aca="false">D114*(1+G114)</f>
        <v>7374.76225452957</v>
      </c>
      <c r="M114" s="14" t="n">
        <v>0</v>
      </c>
      <c r="N114" s="4" t="n">
        <v>1</v>
      </c>
      <c r="O114" s="3" t="str">
        <f aca="false">IF(AND(B114=4,M114=1),IF(N114&lt;0.8,"Subgrupo 7 dias; fronteira de cluster","Subgrupo 7 dias"),IF(N114&lt;0.8,"Fronteira de cluster",""))</f>
        <v/>
      </c>
    </row>
    <row r="115" customFormat="false" ht="15" hidden="false" customHeight="false" outlineLevel="0" collapsed="false">
      <c r="A115" s="14" t="n">
        <v>114</v>
      </c>
      <c r="B115" s="14" t="n">
        <v>1</v>
      </c>
      <c r="C115" s="14" t="s">
        <v>30</v>
      </c>
      <c r="D115" s="15" t="n">
        <v>5346.55994897959</v>
      </c>
      <c r="E115" s="16" t="n">
        <f aca="false">INDEX(Parâmetros!$C$33:$C$37,MATCH(B115,Parâmetros!$A$33:$A$37,0))</f>
        <v>6959.92435130262</v>
      </c>
      <c r="F115" s="7" t="n">
        <f aca="false">MAX(0,(E115-D115)/D115)</f>
        <v>0.301757469797181</v>
      </c>
      <c r="G115" s="7" t="n">
        <f aca="false">MIN(K115*Parâmetros!$B$19,Parâmetros!$B$8)</f>
        <v>0.116454323942955</v>
      </c>
      <c r="H115" s="3" t="str">
        <f aca="false">IF(F115&gt;=Parâmetros!$B$6,"Ação","Acompanhamento")</f>
        <v>Ação</v>
      </c>
      <c r="I115" s="17" t="n">
        <v>303.779193205945</v>
      </c>
      <c r="J115" s="11" t="n">
        <f aca="false">D115*I115</f>
        <v>1624173.66772824</v>
      </c>
      <c r="K115" s="7" t="n">
        <f aca="false">Parâmetros!$B$4+Parâmetros!$B$5*F115</f>
        <v>0.0954393674492954</v>
      </c>
      <c r="L115" s="11" t="n">
        <f aca="false">D115*(1+G115)</f>
        <v>5969.18997325849</v>
      </c>
      <c r="M115" s="14" t="n">
        <v>0</v>
      </c>
      <c r="N115" s="4" t="n">
        <v>0.949367088607595</v>
      </c>
      <c r="O115" s="3" t="str">
        <f aca="false">IF(AND(B115=4,M115=1),IF(N115&lt;0.8,"Subgrupo 7 dias; fronteira de cluster","Subgrupo 7 dias"),IF(N115&lt;0.8,"Fronteira de cluster",""))</f>
        <v/>
      </c>
    </row>
    <row r="116" customFormat="false" ht="15" hidden="false" customHeight="false" outlineLevel="0" collapsed="false">
      <c r="A116" s="14" t="n">
        <v>115</v>
      </c>
      <c r="B116" s="14" t="n">
        <v>1</v>
      </c>
      <c r="C116" s="14" t="s">
        <v>30</v>
      </c>
      <c r="D116" s="15" t="n">
        <v>7371.68971061093</v>
      </c>
      <c r="E116" s="16" t="n">
        <f aca="false">INDEX(Parâmetros!$C$33:$C$37,MATCH(B116,Parâmetros!$A$33:$A$37,0))</f>
        <v>6959.92435130262</v>
      </c>
      <c r="F116" s="7" t="n">
        <f aca="false">MAX(0,(E116-D116)/D116)</f>
        <v>0</v>
      </c>
      <c r="G116" s="7" t="n">
        <f aca="false">MIN(K116*Parâmetros!$B$19,Parâmetros!$B$8)</f>
        <v>0.0244038339849275</v>
      </c>
      <c r="H116" s="3" t="str">
        <f aca="false">IF(F116&gt;=Parâmetros!$B$6,"Ação","Acompanhamento")</f>
        <v>Acompanhamento</v>
      </c>
      <c r="I116" s="17" t="n">
        <v>299.511873350924</v>
      </c>
      <c r="J116" s="11" t="n">
        <f aca="false">D116*I116</f>
        <v>2207908.59498681</v>
      </c>
      <c r="K116" s="7" t="n">
        <f aca="false">Parâmetros!$B$4+Parâmetros!$B$5*F116</f>
        <v>0.02</v>
      </c>
      <c r="L116" s="11" t="n">
        <f aca="false">D116*(1+G116)</f>
        <v>7551.58720249708</v>
      </c>
      <c r="M116" s="14" t="n">
        <v>0</v>
      </c>
      <c r="N116" s="4" t="n">
        <v>1</v>
      </c>
      <c r="O116" s="3" t="str">
        <f aca="false">IF(AND(B116=4,M116=1),IF(N116&lt;0.8,"Subgrupo 7 dias; fronteira de cluster","Subgrupo 7 dias"),IF(N116&lt;0.8,"Fronteira de cluster",""))</f>
        <v/>
      </c>
    </row>
    <row r="117" customFormat="false" ht="15" hidden="false" customHeight="false" outlineLevel="0" collapsed="false">
      <c r="A117" s="14" t="n">
        <v>116</v>
      </c>
      <c r="B117" s="14" t="n">
        <v>4</v>
      </c>
      <c r="C117" s="14" t="s">
        <v>33</v>
      </c>
      <c r="D117" s="15" t="n">
        <v>7294.54533844189</v>
      </c>
      <c r="E117" s="16" t="n">
        <f aca="false">INDEX(Parâmetros!$C$33:$C$37,MATCH(B117,Parâmetros!$A$33:$A$37,0))</f>
        <v>8837.10512820513</v>
      </c>
      <c r="F117" s="7" t="n">
        <f aca="false">MAX(0,(E117-D117)/D117)</f>
        <v>0.211467571753105</v>
      </c>
      <c r="G117" s="7" t="n">
        <f aca="false">MIN(K117*Parâmetros!$B$19,Parâmetros!$B$8)</f>
        <v>0.0889115779131588</v>
      </c>
      <c r="H117" s="3" t="str">
        <f aca="false">IF(F117&gt;=Parâmetros!$B$6,"Ação","Acompanhamento")</f>
        <v>Ação</v>
      </c>
      <c r="I117" s="17" t="n">
        <v>303.391719745223</v>
      </c>
      <c r="J117" s="11" t="n">
        <f aca="false">D117*I117</f>
        <v>2213104.65498938</v>
      </c>
      <c r="K117" s="7" t="n">
        <f aca="false">Parâmetros!$B$4+Parâmetros!$B$5*F117</f>
        <v>0.0728668929382763</v>
      </c>
      <c r="L117" s="11" t="n">
        <f aca="false">D117*(1+G117)</f>
        <v>7943.11487464184</v>
      </c>
      <c r="M117" s="14" t="n">
        <v>0</v>
      </c>
      <c r="N117" s="4" t="n">
        <v>1</v>
      </c>
      <c r="O117" s="3" t="str">
        <f aca="false">IF(AND(B117=4,M117=1),IF(N117&lt;0.8,"Subgrupo 7 dias; fronteira de cluster","Subgrupo 7 dias"),IF(N117&lt;0.8,"Fronteira de cluster",""))</f>
        <v/>
      </c>
    </row>
    <row r="118" customFormat="false" ht="15" hidden="false" customHeight="false" outlineLevel="0" collapsed="false">
      <c r="A118" s="14" t="n">
        <v>117</v>
      </c>
      <c r="B118" s="14" t="n">
        <v>0</v>
      </c>
      <c r="C118" s="14" t="s">
        <v>29</v>
      </c>
      <c r="D118" s="15" t="n">
        <v>3881.95635430039</v>
      </c>
      <c r="E118" s="16" t="n">
        <f aca="false">INDEX(Parâmetros!$C$33:$C$37,MATCH(B118,Parâmetros!$A$33:$A$37,0))</f>
        <v>5476.37033462034</v>
      </c>
      <c r="F118" s="7" t="n">
        <f aca="false">MAX(0,(E118-D118)/D118)</f>
        <v>0.410724344840631</v>
      </c>
      <c r="G118" s="7" t="n">
        <f aca="false">MIN(K118*Parâmetros!$B$19,Parâmetros!$B$8)</f>
        <v>0.149694443048163</v>
      </c>
      <c r="H118" s="3" t="str">
        <f aca="false">IF(F118&gt;=Parâmetros!$B$6,"Ação","Acompanhamento")</f>
        <v>Ação</v>
      </c>
      <c r="I118" s="17" t="n">
        <v>301.841825902336</v>
      </c>
      <c r="J118" s="11" t="n">
        <f aca="false">D118*I118</f>
        <v>1171736.7940552</v>
      </c>
      <c r="K118" s="7" t="n">
        <f aca="false">Parâmetros!$B$4+Parâmetros!$B$5*F118</f>
        <v>0.122681086210158</v>
      </c>
      <c r="L118" s="11" t="n">
        <f aca="false">D118*(1+G118)</f>
        <v>4463.06364869466</v>
      </c>
      <c r="M118" s="14" t="n">
        <v>0</v>
      </c>
      <c r="N118" s="4" t="n">
        <v>1</v>
      </c>
      <c r="O118" s="3" t="str">
        <f aca="false">IF(AND(B118=4,M118=1),IF(N118&lt;0.8,"Subgrupo 7 dias; fronteira de cluster","Subgrupo 7 dias"),IF(N118&lt;0.8,"Fronteira de cluster",""))</f>
        <v/>
      </c>
    </row>
    <row r="119" customFormat="false" ht="15" hidden="false" customHeight="false" outlineLevel="0" collapsed="false">
      <c r="A119" s="14" t="n">
        <v>118</v>
      </c>
      <c r="B119" s="14" t="n">
        <v>1</v>
      </c>
      <c r="C119" s="14" t="s">
        <v>30</v>
      </c>
      <c r="D119" s="15" t="n">
        <v>7781.60613810742</v>
      </c>
      <c r="E119" s="16" t="n">
        <f aca="false">INDEX(Parâmetros!$C$33:$C$37,MATCH(B119,Parâmetros!$A$33:$A$37,0))</f>
        <v>6959.92435130262</v>
      </c>
      <c r="F119" s="7" t="n">
        <f aca="false">MAX(0,(E119-D119)/D119)</f>
        <v>0</v>
      </c>
      <c r="G119" s="7" t="n">
        <f aca="false">MIN(K119*Parâmetros!$B$19,Parâmetros!$B$8)</f>
        <v>0.0244038339849275</v>
      </c>
      <c r="H119" s="3" t="str">
        <f aca="false">IF(F119&gt;=Parâmetros!$B$6,"Ação","Acompanhamento")</f>
        <v>Acompanhamento</v>
      </c>
      <c r="I119" s="17" t="n">
        <v>303.004246284501</v>
      </c>
      <c r="J119" s="11" t="n">
        <f aca="false">D119*I119</f>
        <v>2357859.70276009</v>
      </c>
      <c r="K119" s="7" t="n">
        <f aca="false">Parâmetros!$B$4+Parâmetros!$B$5*F119</f>
        <v>0.02</v>
      </c>
      <c r="L119" s="11" t="n">
        <f aca="false">D119*(1+G119)</f>
        <v>7971.50716243788</v>
      </c>
      <c r="M119" s="14" t="n">
        <v>0</v>
      </c>
      <c r="N119" s="4" t="n">
        <v>1</v>
      </c>
      <c r="O119" s="3" t="str">
        <f aca="false">IF(AND(B119=4,M119=1),IF(N119&lt;0.8,"Subgrupo 7 dias; fronteira de cluster","Subgrupo 7 dias"),IF(N119&lt;0.8,"Fronteira de cluster",""))</f>
        <v/>
      </c>
    </row>
    <row r="120" customFormat="false" ht="15" hidden="false" customHeight="false" outlineLevel="0" collapsed="false">
      <c r="A120" s="14" t="n">
        <v>119</v>
      </c>
      <c r="B120" s="14" t="n">
        <v>0</v>
      </c>
      <c r="C120" s="14" t="s">
        <v>29</v>
      </c>
      <c r="D120" s="15" t="n">
        <v>6005.08545918367</v>
      </c>
      <c r="E120" s="16" t="n">
        <f aca="false">INDEX(Parâmetros!$C$33:$C$37,MATCH(B120,Parâmetros!$A$33:$A$37,0))</f>
        <v>5476.37033462034</v>
      </c>
      <c r="F120" s="7" t="n">
        <f aca="false">MAX(0,(E120-D120)/D120)</f>
        <v>0</v>
      </c>
      <c r="G120" s="7" t="n">
        <f aca="false">MIN(K120*Parâmetros!$B$19,Parâmetros!$B$8)</f>
        <v>0.0244038339849275</v>
      </c>
      <c r="H120" s="3" t="str">
        <f aca="false">IF(F120&gt;=Parâmetros!$B$6,"Ação","Acompanhamento")</f>
        <v>Acompanhamento</v>
      </c>
      <c r="I120" s="17" t="n">
        <v>303.779193205945</v>
      </c>
      <c r="J120" s="11" t="n">
        <f aca="false">D120*I120</f>
        <v>1824220.01592357</v>
      </c>
      <c r="K120" s="7" t="n">
        <f aca="false">Parâmetros!$B$4+Parâmetros!$B$5*F120</f>
        <v>0.02</v>
      </c>
      <c r="L120" s="11" t="n">
        <f aca="false">D120*(1+G120)</f>
        <v>6151.63256779489</v>
      </c>
      <c r="M120" s="14" t="n">
        <v>0</v>
      </c>
      <c r="N120" s="4" t="n">
        <v>0.732558139534884</v>
      </c>
      <c r="O120" s="3" t="str">
        <f aca="false">IF(AND(B120=4,M120=1),IF(N120&lt;0.8,"Subgrupo 7 dias; fronteira de cluster","Subgrupo 7 dias"),IF(N120&lt;0.8,"Fronteira de cluster",""))</f>
        <v>Fronteira de cluster</v>
      </c>
    </row>
    <row r="121" customFormat="false" ht="15" hidden="false" customHeight="false" outlineLevel="0" collapsed="false">
      <c r="A121" s="14" t="n">
        <v>120</v>
      </c>
      <c r="B121" s="14" t="n">
        <v>1</v>
      </c>
      <c r="C121" s="14" t="s">
        <v>30</v>
      </c>
      <c r="D121" s="15" t="n">
        <v>7110.10243277849</v>
      </c>
      <c r="E121" s="16" t="n">
        <f aca="false">INDEX(Parâmetros!$C$33:$C$37,MATCH(B121,Parâmetros!$A$33:$A$37,0))</f>
        <v>6959.92435130262</v>
      </c>
      <c r="F121" s="7" t="n">
        <f aca="false">MAX(0,(E121-D121)/D121)</f>
        <v>0</v>
      </c>
      <c r="G121" s="7" t="n">
        <f aca="false">MIN(K121*Parâmetros!$B$19,Parâmetros!$B$8)</f>
        <v>0.0244038339849275</v>
      </c>
      <c r="H121" s="3" t="str">
        <f aca="false">IF(F121&gt;=Parâmetros!$B$6,"Ação","Acompanhamento")</f>
        <v>Acompanhamento</v>
      </c>
      <c r="I121" s="17" t="n">
        <v>302.616772823779</v>
      </c>
      <c r="J121" s="11" t="n">
        <f aca="false">D121*I121</f>
        <v>2151636.25265393</v>
      </c>
      <c r="K121" s="7" t="n">
        <f aca="false">Parâmetros!$B$4+Parâmetros!$B$5*F121</f>
        <v>0.02</v>
      </c>
      <c r="L121" s="11" t="n">
        <f aca="false">D121*(1+G121)</f>
        <v>7283.61619216384</v>
      </c>
      <c r="M121" s="14" t="n">
        <v>0</v>
      </c>
      <c r="N121" s="4" t="n">
        <v>1</v>
      </c>
      <c r="O121" s="3" t="str">
        <f aca="false">IF(AND(B121=4,M121=1),IF(N121&lt;0.8,"Subgrupo 7 dias; fronteira de cluster","Subgrupo 7 dias"),IF(N121&lt;0.8,"Fronteira de cluster",""))</f>
        <v/>
      </c>
    </row>
    <row r="122" customFormat="false" ht="15" hidden="false" customHeight="false" outlineLevel="0" collapsed="false">
      <c r="A122" s="14" t="n">
        <v>121</v>
      </c>
      <c r="B122" s="14" t="n">
        <v>3</v>
      </c>
      <c r="C122" s="14" t="s">
        <v>32</v>
      </c>
      <c r="D122" s="15" t="n">
        <v>4453.1717948718</v>
      </c>
      <c r="E122" s="16" t="n">
        <f aca="false">INDEX(Parâmetros!$C$33:$C$37,MATCH(B122,Parâmetros!$A$33:$A$37,0))</f>
        <v>5909.24487179487</v>
      </c>
      <c r="F122" s="7" t="n">
        <f aca="false">MAX(0,(E122-D122)/D122)</f>
        <v>0.326974377813106</v>
      </c>
      <c r="G122" s="7" t="n">
        <f aca="false">MIN(K122*Parâmetros!$B$19,Parâmetros!$B$8)</f>
        <v>0.124146689403377</v>
      </c>
      <c r="H122" s="3" t="str">
        <f aca="false">IF(F122&gt;=Parâmetros!$B$6,"Ação","Acompanhamento")</f>
        <v>Ação</v>
      </c>
      <c r="I122" s="17" t="n">
        <v>302.229299363057</v>
      </c>
      <c r="J122" s="11" t="n">
        <f aca="false">D122*I122</f>
        <v>1345878.99150743</v>
      </c>
      <c r="K122" s="7" t="n">
        <f aca="false">Parâmetros!$B$4+Parâmetros!$B$5*F122</f>
        <v>0.101743594453276</v>
      </c>
      <c r="L122" s="11" t="n">
        <f aca="false">D122*(1+G122)</f>
        <v>5006.01833054962</v>
      </c>
      <c r="M122" s="14" t="n">
        <v>0</v>
      </c>
      <c r="N122" s="4" t="n">
        <v>0.738095238095238</v>
      </c>
      <c r="O122" s="3" t="str">
        <f aca="false">IF(AND(B122=4,M122=1),IF(N122&lt;0.8,"Subgrupo 7 dias; fronteira de cluster","Subgrupo 7 dias"),IF(N122&lt;0.8,"Fronteira de cluster",""))</f>
        <v>Fronteira de cluster</v>
      </c>
    </row>
    <row r="123" customFormat="false" ht="15" hidden="false" customHeight="false" outlineLevel="0" collapsed="false">
      <c r="A123" s="14" t="n">
        <v>122</v>
      </c>
      <c r="B123" s="14" t="n">
        <v>2</v>
      </c>
      <c r="C123" s="14" t="s">
        <v>31</v>
      </c>
      <c r="D123" s="15" t="n">
        <v>6462.01468926554</v>
      </c>
      <c r="E123" s="16" t="n">
        <f aca="false">INDEX(Parâmetros!$C$33:$C$37,MATCH(B123,Parâmetros!$A$33:$A$37,0))</f>
        <v>6324.80102695764</v>
      </c>
      <c r="F123" s="7" t="n">
        <f aca="false">MAX(0,(E123-D123)/D123)</f>
        <v>0</v>
      </c>
      <c r="G123" s="7" t="n">
        <f aca="false">MIN(K123*Parâmetros!$B$19,Parâmetros!$B$8)</f>
        <v>0.0244038339849275</v>
      </c>
      <c r="H123" s="3" t="str">
        <f aca="false">IF(F123&gt;=Parâmetros!$B$6,"Ação","Acompanhamento")</f>
        <v>Acompanhamento</v>
      </c>
      <c r="I123" s="17" t="n">
        <v>342.914012738854</v>
      </c>
      <c r="J123" s="11" t="n">
        <f aca="false">D123*I123</f>
        <v>2215915.38747346</v>
      </c>
      <c r="K123" s="7" t="n">
        <f aca="false">Parâmetros!$B$4+Parâmetros!$B$5*F123</f>
        <v>0.02</v>
      </c>
      <c r="L123" s="11" t="n">
        <f aca="false">D123*(1+G123)</f>
        <v>6619.71262295054</v>
      </c>
      <c r="M123" s="14" t="n">
        <v>1</v>
      </c>
      <c r="N123" s="4" t="n">
        <v>0.974025974025974</v>
      </c>
      <c r="O123" s="3" t="str">
        <f aca="false">IF(AND(B123=4,M123=1),IF(N123&lt;0.8,"Subgrupo 7 dias; fronteira de cluster","Subgrupo 7 dias"),IF(N123&lt;0.8,"Fronteira de cluster",""))</f>
        <v/>
      </c>
    </row>
    <row r="124" customFormat="false" ht="15" hidden="false" customHeight="false" outlineLevel="0" collapsed="false">
      <c r="A124" s="14" t="n">
        <v>123</v>
      </c>
      <c r="B124" s="14" t="n">
        <v>3</v>
      </c>
      <c r="C124" s="14" t="s">
        <v>32</v>
      </c>
      <c r="D124" s="15" t="n">
        <v>8399.20442708333</v>
      </c>
      <c r="E124" s="16" t="n">
        <f aca="false">INDEX(Parâmetros!$C$33:$C$37,MATCH(B124,Parâmetros!$A$33:$A$37,0))</f>
        <v>5909.24487179487</v>
      </c>
      <c r="F124" s="7" t="n">
        <f aca="false">MAX(0,(E124-D124)/D124)</f>
        <v>0</v>
      </c>
      <c r="G124" s="7" t="n">
        <f aca="false">MIN(K124*Parâmetros!$B$19,Parâmetros!$B$8)</f>
        <v>0.0244038339849275</v>
      </c>
      <c r="H124" s="3" t="str">
        <f aca="false">IF(F124&gt;=Parâmetros!$B$6,"Ação","Acompanhamento")</f>
        <v>Acompanhamento</v>
      </c>
      <c r="I124" s="17" t="n">
        <v>297.579617834395</v>
      </c>
      <c r="J124" s="11" t="n">
        <f aca="false">D124*I124</f>
        <v>2499432.04352442</v>
      </c>
      <c r="K124" s="7" t="n">
        <f aca="false">Parâmetros!$B$4+Parâmetros!$B$5*F124</f>
        <v>0.02</v>
      </c>
      <c r="L124" s="11" t="n">
        <f aca="false">D124*(1+G124)</f>
        <v>8604.17721752734</v>
      </c>
      <c r="M124" s="14" t="n">
        <v>0</v>
      </c>
      <c r="N124" s="4" t="n">
        <v>1</v>
      </c>
      <c r="O124" s="3" t="str">
        <f aca="false">IF(AND(B124=4,M124=1),IF(N124&lt;0.8,"Subgrupo 7 dias; fronteira de cluster","Subgrupo 7 dias"),IF(N124&lt;0.8,"Fronteira de cluster",""))</f>
        <v/>
      </c>
    </row>
    <row r="125" customFormat="false" ht="15" hidden="false" customHeight="false" outlineLevel="0" collapsed="false">
      <c r="A125" s="14" t="n">
        <v>124</v>
      </c>
      <c r="B125" s="14" t="n">
        <v>0</v>
      </c>
      <c r="C125" s="14" t="s">
        <v>29</v>
      </c>
      <c r="D125" s="15" t="n">
        <v>4424.14634146342</v>
      </c>
      <c r="E125" s="16" t="n">
        <f aca="false">INDEX(Parâmetros!$C$33:$C$37,MATCH(B125,Parâmetros!$A$33:$A$37,0))</f>
        <v>5476.37033462034</v>
      </c>
      <c r="F125" s="7" t="n">
        <f aca="false">MAX(0,(E125-D125)/D125)</f>
        <v>0.237836615686828</v>
      </c>
      <c r="G125" s="7" t="n">
        <f aca="false">MIN(K125*Parâmetros!$B$19,Parâmetros!$B$8)</f>
        <v>0.0969554000444066</v>
      </c>
      <c r="H125" s="3" t="str">
        <f aca="false">IF(F125&gt;=Parâmetros!$B$6,"Ação","Acompanhamento")</f>
        <v>Ação</v>
      </c>
      <c r="I125" s="17" t="n">
        <v>301.841825902336</v>
      </c>
      <c r="J125" s="11" t="n">
        <f aca="false">D125*I125</f>
        <v>1335392.40976645</v>
      </c>
      <c r="K125" s="7" t="n">
        <f aca="false">Parâmetros!$B$4+Parâmetros!$B$5*F125</f>
        <v>0.0794591539217069</v>
      </c>
      <c r="L125" s="11" t="n">
        <f aca="false">D125*(1+G125)</f>
        <v>4853.091219855</v>
      </c>
      <c r="M125" s="14" t="n">
        <v>0</v>
      </c>
      <c r="N125" s="4" t="n">
        <v>1</v>
      </c>
      <c r="O125" s="3" t="str">
        <f aca="false">IF(AND(B125=4,M125=1),IF(N125&lt;0.8,"Subgrupo 7 dias; fronteira de cluster","Subgrupo 7 dias"),IF(N125&lt;0.8,"Fronteira de cluster",""))</f>
        <v/>
      </c>
    </row>
    <row r="126" customFormat="false" ht="15" hidden="false" customHeight="false" outlineLevel="0" collapsed="false">
      <c r="A126" s="14" t="n">
        <v>125</v>
      </c>
      <c r="B126" s="14" t="n">
        <v>4</v>
      </c>
      <c r="C126" s="14" t="s">
        <v>33</v>
      </c>
      <c r="D126" s="15" t="n">
        <v>11836.8482142857</v>
      </c>
      <c r="E126" s="16" t="n">
        <f aca="false">INDEX(Parâmetros!$C$33:$C$37,MATCH(B126,Parâmetros!$A$33:$A$37,0))</f>
        <v>8837.10512820513</v>
      </c>
      <c r="F126" s="7" t="n">
        <f aca="false">MAX(0,(E126-D126)/D126)</f>
        <v>0</v>
      </c>
      <c r="G126" s="7" t="n">
        <f aca="false">MIN(K126*Parâmetros!$B$19,Parâmetros!$B$8)</f>
        <v>0.0244038339849275</v>
      </c>
      <c r="H126" s="3" t="str">
        <f aca="false">IF(F126&gt;=Parâmetros!$B$6,"Ação","Acompanhamento")</f>
        <v>Acompanhamento</v>
      </c>
      <c r="I126" s="17" t="n">
        <v>303.779193205945</v>
      </c>
      <c r="J126" s="11" t="n">
        <f aca="false">D126*I126</f>
        <v>3595788.20063694</v>
      </c>
      <c r="K126" s="7" t="n">
        <f aca="false">Parâmetros!$B$4+Parâmetros!$B$5*F126</f>
        <v>0.02</v>
      </c>
      <c r="L126" s="11" t="n">
        <f aca="false">D126*(1+G126)</f>
        <v>12125.7126930119</v>
      </c>
      <c r="M126" s="14" t="n">
        <v>0</v>
      </c>
      <c r="N126" s="4" t="n">
        <v>1</v>
      </c>
      <c r="O126" s="3" t="str">
        <f aca="false">IF(AND(B126=4,M126=1),IF(N126&lt;0.8,"Subgrupo 7 dias; fronteira de cluster","Subgrupo 7 dias"),IF(N126&lt;0.8,"Fronteira de cluster",""))</f>
        <v/>
      </c>
    </row>
    <row r="127" customFormat="false" ht="15" hidden="false" customHeight="false" outlineLevel="0" collapsed="false">
      <c r="A127" s="14" t="n">
        <v>126</v>
      </c>
      <c r="B127" s="14" t="n">
        <v>3</v>
      </c>
      <c r="C127" s="14" t="s">
        <v>32</v>
      </c>
      <c r="D127" s="15" t="n">
        <v>6507.75353016688</v>
      </c>
      <c r="E127" s="16" t="n">
        <f aca="false">INDEX(Parâmetros!$C$33:$C$37,MATCH(B127,Parâmetros!$A$33:$A$37,0))</f>
        <v>5909.24487179487</v>
      </c>
      <c r="F127" s="7" t="n">
        <f aca="false">MAX(0,(E127-D127)/D127)</f>
        <v>0</v>
      </c>
      <c r="G127" s="7" t="n">
        <f aca="false">MIN(K127*Parâmetros!$B$19,Parâmetros!$B$8)</f>
        <v>0.0244038339849275</v>
      </c>
      <c r="H127" s="3" t="str">
        <f aca="false">IF(F127&gt;=Parâmetros!$B$6,"Ação","Acompanhamento")</f>
        <v>Acompanhamento</v>
      </c>
      <c r="I127" s="17" t="n">
        <v>301.841825902336</v>
      </c>
      <c r="J127" s="11" t="n">
        <f aca="false">D127*I127</f>
        <v>1964312.20806794</v>
      </c>
      <c r="K127" s="7" t="n">
        <f aca="false">Parâmetros!$B$4+Parâmetros!$B$5*F127</f>
        <v>0.02</v>
      </c>
      <c r="L127" s="11" t="n">
        <f aca="false">D127*(1+G127)</f>
        <v>6666.5676669319</v>
      </c>
      <c r="M127" s="14" t="n">
        <v>0</v>
      </c>
      <c r="N127" s="4" t="n">
        <v>1</v>
      </c>
      <c r="O127" s="3" t="str">
        <f aca="false">IF(AND(B127=4,M127=1),IF(N127&lt;0.8,"Subgrupo 7 dias; fronteira de cluster","Subgrupo 7 dias"),IF(N127&lt;0.8,"Fronteira de cluster",""))</f>
        <v/>
      </c>
    </row>
    <row r="128" customFormat="false" ht="15" hidden="false" customHeight="false" outlineLevel="0" collapsed="false">
      <c r="A128" s="14" t="n">
        <v>127</v>
      </c>
      <c r="B128" s="14" t="n">
        <v>0</v>
      </c>
      <c r="C128" s="14" t="s">
        <v>29</v>
      </c>
      <c r="D128" s="15" t="n">
        <v>5238.15409309791</v>
      </c>
      <c r="E128" s="16" t="n">
        <f aca="false">INDEX(Parâmetros!$C$33:$C$37,MATCH(B128,Parâmetros!$A$33:$A$37,0))</f>
        <v>5476.37033462034</v>
      </c>
      <c r="F128" s="7" t="n">
        <f aca="false">MAX(0,(E128-D128)/D128)</f>
        <v>0.0454771351297794</v>
      </c>
      <c r="G128" s="7" t="n">
        <f aca="false">MIN(K128*Parâmetros!$B$19,Parâmetros!$B$8)</f>
        <v>0.0382765396826431</v>
      </c>
      <c r="H128" s="3" t="str">
        <f aca="false">IF(F128&gt;=Parâmetros!$B$6,"Ação","Acompanhamento")</f>
        <v>Acompanhamento</v>
      </c>
      <c r="I128" s="17" t="n">
        <v>299.993403693931</v>
      </c>
      <c r="J128" s="11" t="n">
        <f aca="false">D128*I128</f>
        <v>1571411.67546174</v>
      </c>
      <c r="K128" s="7" t="n">
        <f aca="false">Parâmetros!$B$4+Parâmetros!$B$5*F128</f>
        <v>0.0313692837824449</v>
      </c>
      <c r="L128" s="11" t="n">
        <f aca="false">D128*(1+G128)</f>
        <v>5438.65250610618</v>
      </c>
      <c r="M128" s="14" t="n">
        <v>0</v>
      </c>
      <c r="N128" s="4" t="n">
        <v>1</v>
      </c>
      <c r="O128" s="3" t="str">
        <f aca="false">IF(AND(B128=4,M128=1),IF(N128&lt;0.8,"Subgrupo 7 dias; fronteira de cluster","Subgrupo 7 dias"),IF(N128&lt;0.8,"Fronteira de cluster",""))</f>
        <v/>
      </c>
    </row>
    <row r="129" customFormat="false" ht="15" hidden="false" customHeight="false" outlineLevel="0" collapsed="false">
      <c r="A129" s="14" t="n">
        <v>128</v>
      </c>
      <c r="B129" s="14" t="n">
        <v>1</v>
      </c>
      <c r="C129" s="14" t="s">
        <v>30</v>
      </c>
      <c r="D129" s="15" t="n">
        <v>7454.67221510884</v>
      </c>
      <c r="E129" s="16" t="n">
        <f aca="false">INDEX(Parâmetros!$C$33:$C$37,MATCH(B129,Parâmetros!$A$33:$A$37,0))</f>
        <v>6959.92435130262</v>
      </c>
      <c r="F129" s="7" t="n">
        <f aca="false">MAX(0,(E129-D129)/D129)</f>
        <v>0</v>
      </c>
      <c r="G129" s="7" t="n">
        <f aca="false">MIN(K129*Parâmetros!$B$19,Parâmetros!$B$8)</f>
        <v>0.0244038339849275</v>
      </c>
      <c r="H129" s="3" t="str">
        <f aca="false">IF(F129&gt;=Parâmetros!$B$6,"Ação","Acompanhamento")</f>
        <v>Acompanhamento</v>
      </c>
      <c r="I129" s="17" t="n">
        <v>302.616772823779</v>
      </c>
      <c r="J129" s="11" t="n">
        <f aca="false">D129*I129</f>
        <v>2255908.84819533</v>
      </c>
      <c r="K129" s="7" t="n">
        <f aca="false">Parâmetros!$B$4+Parâmetros!$B$5*F129</f>
        <v>0.02</v>
      </c>
      <c r="L129" s="11" t="n">
        <f aca="false">D129*(1+G129)</f>
        <v>7636.5947982584</v>
      </c>
      <c r="M129" s="14" t="n">
        <v>0</v>
      </c>
      <c r="N129" s="4" t="n">
        <v>0.860759493670886</v>
      </c>
      <c r="O129" s="3" t="str">
        <f aca="false">IF(AND(B129=4,M129=1),IF(N129&lt;0.8,"Subgrupo 7 dias; fronteira de cluster","Subgrupo 7 dias"),IF(N129&lt;0.8,"Fronteira de cluster",""))</f>
        <v/>
      </c>
    </row>
    <row r="130" customFormat="false" ht="15" hidden="false" customHeight="false" outlineLevel="0" collapsed="false">
      <c r="A130" s="14" t="n">
        <v>129</v>
      </c>
      <c r="B130" s="14" t="n">
        <v>4</v>
      </c>
      <c r="C130" s="14" t="s">
        <v>33</v>
      </c>
      <c r="D130" s="15" t="n">
        <v>9208.12057877814</v>
      </c>
      <c r="E130" s="16" t="n">
        <f aca="false">INDEX(Parâmetros!$C$33:$C$37,MATCH(B130,Parâmetros!$A$33:$A$37,0))</f>
        <v>8837.10512820513</v>
      </c>
      <c r="F130" s="7" t="n">
        <f aca="false">MAX(0,(E130-D130)/D130)</f>
        <v>0</v>
      </c>
      <c r="G130" s="7" t="n">
        <f aca="false">MIN(K130*Parâmetros!$B$19,Parâmetros!$B$8)</f>
        <v>0.0244038339849275</v>
      </c>
      <c r="H130" s="3" t="str">
        <f aca="false">IF(F130&gt;=Parâmetros!$B$6,"Ação","Acompanhamento")</f>
        <v>Acompanhamento</v>
      </c>
      <c r="I130" s="17" t="n">
        <v>299.511873350924</v>
      </c>
      <c r="J130" s="11" t="n">
        <f aca="false">D130*I130</f>
        <v>2757941.44459103</v>
      </c>
      <c r="K130" s="7" t="n">
        <f aca="false">Parâmetros!$B$4+Parâmetros!$B$5*F130</f>
        <v>0.02</v>
      </c>
      <c r="L130" s="11" t="n">
        <f aca="false">D130*(1+G130)</f>
        <v>9432.83402469583</v>
      </c>
      <c r="M130" s="14" t="n">
        <v>0</v>
      </c>
      <c r="N130" s="4" t="n">
        <v>0.987179487179487</v>
      </c>
      <c r="O130" s="3" t="str">
        <f aca="false">IF(AND(B130=4,M130=1),IF(N130&lt;0.8,"Subgrupo 7 dias; fronteira de cluster","Subgrupo 7 dias"),IF(N130&lt;0.8,"Fronteira de cluster",""))</f>
        <v/>
      </c>
    </row>
    <row r="131" customFormat="false" ht="15" hidden="false" customHeight="false" outlineLevel="0" collapsed="false">
      <c r="A131" s="14" t="n">
        <v>130</v>
      </c>
      <c r="B131" s="14" t="n">
        <v>4</v>
      </c>
      <c r="C131" s="14" t="s">
        <v>33</v>
      </c>
      <c r="D131" s="15" t="n">
        <v>5121.06274007682</v>
      </c>
      <c r="E131" s="16" t="n">
        <f aca="false">INDEX(Parâmetros!$C$33:$C$37,MATCH(B131,Parâmetros!$A$33:$A$37,0))</f>
        <v>8837.10512820513</v>
      </c>
      <c r="F131" s="7" t="n">
        <f aca="false">MAX(0,(E131-D131)/D131)</f>
        <v>0.725638910659501</v>
      </c>
      <c r="G131" s="7" t="n">
        <f aca="false">MIN(K131*Parâmetros!$B$19,Parâmetros!$B$8)</f>
        <v>0.2</v>
      </c>
      <c r="H131" s="3" t="str">
        <f aca="false">IF(F131&gt;=Parâmetros!$B$6,"Ação","Acompanhamento")</f>
        <v>Ação</v>
      </c>
      <c r="I131" s="17" t="n">
        <v>302.616772823779</v>
      </c>
      <c r="J131" s="11" t="n">
        <f aca="false">D131*I131</f>
        <v>1549719.47983015</v>
      </c>
      <c r="K131" s="7" t="n">
        <f aca="false">Parâmetros!$B$4+Parâmetros!$B$5*F131</f>
        <v>0.201409727664875</v>
      </c>
      <c r="L131" s="11" t="n">
        <f aca="false">D131*(1+G131)</f>
        <v>6145.27528809219</v>
      </c>
      <c r="M131" s="14" t="n">
        <v>0</v>
      </c>
      <c r="N131" s="4" t="n">
        <v>0.541666666666667</v>
      </c>
      <c r="O131" s="3" t="str">
        <f aca="false">IF(AND(B131=4,M131=1),IF(N131&lt;0.8,"Subgrupo 7 dias; fronteira de cluster","Subgrupo 7 dias"),IF(N131&lt;0.8,"Fronteira de cluster",""))</f>
        <v>Fronteira de cluster</v>
      </c>
    </row>
    <row r="132" customFormat="false" ht="15" hidden="false" customHeight="false" outlineLevel="0" collapsed="false">
      <c r="A132" s="14" t="n">
        <v>131</v>
      </c>
      <c r="B132" s="14" t="n">
        <v>0</v>
      </c>
      <c r="C132" s="14" t="s">
        <v>29</v>
      </c>
      <c r="D132" s="15" t="n">
        <v>5275.40436456996</v>
      </c>
      <c r="E132" s="16" t="n">
        <f aca="false">INDEX(Parâmetros!$C$33:$C$37,MATCH(B132,Parâmetros!$A$33:$A$37,0))</f>
        <v>5476.37033462034</v>
      </c>
      <c r="F132" s="7" t="n">
        <f aca="false">MAX(0,(E132-D132)/D132)</f>
        <v>0.0380948939952503</v>
      </c>
      <c r="G132" s="7" t="n">
        <f aca="false">MIN(K132*Parâmetros!$B$19,Parâmetros!$B$8)</f>
        <v>0.0360246023440962</v>
      </c>
      <c r="H132" s="3" t="str">
        <f aca="false">IF(F132&gt;=Parâmetros!$B$6,"Ação","Acompanhamento")</f>
        <v>Acompanhamento</v>
      </c>
      <c r="I132" s="17" t="n">
        <v>301.841825902336</v>
      </c>
      <c r="J132" s="11" t="n">
        <f aca="false">D132*I132</f>
        <v>1592337.68577495</v>
      </c>
      <c r="K132" s="7" t="n">
        <f aca="false">Parâmetros!$B$4+Parâmetros!$B$5*F132</f>
        <v>0.0295237234988126</v>
      </c>
      <c r="L132" s="11" t="n">
        <f aca="false">D132*(1+G132)</f>
        <v>5465.4487090079</v>
      </c>
      <c r="M132" s="14" t="n">
        <v>0</v>
      </c>
      <c r="N132" s="4" t="n">
        <v>1</v>
      </c>
      <c r="O132" s="3" t="str">
        <f aca="false">IF(AND(B132=4,M132=1),IF(N132&lt;0.8,"Subgrupo 7 dias; fronteira de cluster","Subgrupo 7 dias"),IF(N132&lt;0.8,"Fronteira de cluster",""))</f>
        <v/>
      </c>
    </row>
    <row r="133" customFormat="false" ht="15" hidden="false" customHeight="false" outlineLevel="0" collapsed="false">
      <c r="A133" s="14" t="n">
        <v>132</v>
      </c>
      <c r="B133" s="14" t="n">
        <v>1</v>
      </c>
      <c r="C133" s="14" t="s">
        <v>30</v>
      </c>
      <c r="D133" s="15" t="n">
        <v>6283.25562700965</v>
      </c>
      <c r="E133" s="16" t="n">
        <f aca="false">INDEX(Parâmetros!$C$33:$C$37,MATCH(B133,Parâmetros!$A$33:$A$37,0))</f>
        <v>6959.92435130262</v>
      </c>
      <c r="F133" s="7" t="n">
        <f aca="false">MAX(0,(E133-D133)/D133)</f>
        <v>0.107693967023114</v>
      </c>
      <c r="G133" s="7" t="n">
        <f aca="false">MIN(K133*Parâmetros!$B$19,Parâmetros!$B$8)</f>
        <v>0.0572556551400566</v>
      </c>
      <c r="H133" s="3" t="str">
        <f aca="false">IF(F133&gt;=Parâmetros!$B$6,"Ação","Acompanhamento")</f>
        <v>Ação</v>
      </c>
      <c r="I133" s="17" t="n">
        <v>299.511873350924</v>
      </c>
      <c r="J133" s="11" t="n">
        <f aca="false">D133*I133</f>
        <v>1881909.66358839</v>
      </c>
      <c r="K133" s="7" t="n">
        <f aca="false">Parâmetros!$B$4+Parâmetros!$B$5*F133</f>
        <v>0.0469234917557786</v>
      </c>
      <c r="L133" s="11" t="n">
        <f aca="false">D133*(1+G133)</f>
        <v>6643.00754434653</v>
      </c>
      <c r="M133" s="14" t="n">
        <v>0</v>
      </c>
      <c r="N133" s="4" t="n">
        <v>1</v>
      </c>
      <c r="O133" s="3" t="str">
        <f aca="false">IF(AND(B133=4,M133=1),IF(N133&lt;0.8,"Subgrupo 7 dias; fronteira de cluster","Subgrupo 7 dias"),IF(N133&lt;0.8,"Fronteira de cluster",""))</f>
        <v/>
      </c>
    </row>
    <row r="134" customFormat="false" ht="15" hidden="false" customHeight="false" outlineLevel="0" collapsed="false">
      <c r="A134" s="14" t="n">
        <v>133</v>
      </c>
      <c r="B134" s="14" t="n">
        <v>0</v>
      </c>
      <c r="C134" s="14" t="s">
        <v>29</v>
      </c>
      <c r="D134" s="15" t="n">
        <v>6467.75959079284</v>
      </c>
      <c r="E134" s="16" t="n">
        <f aca="false">INDEX(Parâmetros!$C$33:$C$37,MATCH(B134,Parâmetros!$A$33:$A$37,0))</f>
        <v>5476.37033462034</v>
      </c>
      <c r="F134" s="7" t="n">
        <f aca="false">MAX(0,(E134-D134)/D134)</f>
        <v>0</v>
      </c>
      <c r="G134" s="7" t="n">
        <f aca="false">MIN(K134*Parâmetros!$B$19,Parâmetros!$B$8)</f>
        <v>0.0244038339849275</v>
      </c>
      <c r="H134" s="3" t="str">
        <f aca="false">IF(F134&gt;=Parâmetros!$B$6,"Ação","Acompanhamento")</f>
        <v>Acompanhamento</v>
      </c>
      <c r="I134" s="17" t="n">
        <v>303.004246284501</v>
      </c>
      <c r="J134" s="11" t="n">
        <f aca="false">D134*I134</f>
        <v>1959758.61995754</v>
      </c>
      <c r="K134" s="7" t="n">
        <f aca="false">Parâmetros!$B$4+Parâmetros!$B$5*F134</f>
        <v>0.02</v>
      </c>
      <c r="L134" s="11" t="n">
        <f aca="false">D134*(1+G134)</f>
        <v>6625.59772210097</v>
      </c>
      <c r="M134" s="14" t="n">
        <v>0</v>
      </c>
      <c r="N134" s="4" t="n">
        <v>0.987012987012987</v>
      </c>
      <c r="O134" s="3" t="str">
        <f aca="false">IF(AND(B134=4,M134=1),IF(N134&lt;0.8,"Subgrupo 7 dias; fronteira de cluster","Subgrupo 7 dias"),IF(N134&lt;0.8,"Fronteira de cluster",""))</f>
        <v/>
      </c>
    </row>
    <row r="135" customFormat="false" ht="15" hidden="false" customHeight="false" outlineLevel="0" collapsed="false">
      <c r="A135" s="14" t="n">
        <v>134</v>
      </c>
      <c r="B135" s="14" t="n">
        <v>0</v>
      </c>
      <c r="C135" s="14" t="s">
        <v>29</v>
      </c>
      <c r="D135" s="15" t="n">
        <v>4725.89158163265</v>
      </c>
      <c r="E135" s="16" t="n">
        <f aca="false">INDEX(Parâmetros!$C$33:$C$37,MATCH(B135,Parâmetros!$A$33:$A$37,0))</f>
        <v>5476.37033462034</v>
      </c>
      <c r="F135" s="7" t="n">
        <f aca="false">MAX(0,(E135-D135)/D135)</f>
        <v>0.158801517136882</v>
      </c>
      <c r="G135" s="7" t="n">
        <f aca="false">MIN(K135*Parâmetros!$B$19,Parâmetros!$B$8)</f>
        <v>0.0728459072444658</v>
      </c>
      <c r="H135" s="3" t="str">
        <f aca="false">IF(F135&gt;=Parâmetros!$B$6,"Ação","Acompanhamento")</f>
        <v>Ação</v>
      </c>
      <c r="I135" s="17" t="n">
        <v>303.779193205945</v>
      </c>
      <c r="J135" s="11" t="n">
        <f aca="false">D135*I135</f>
        <v>1435627.53184713</v>
      </c>
      <c r="K135" s="7" t="n">
        <f aca="false">Parâmetros!$B$4+Parâmetros!$B$5*F135</f>
        <v>0.0597003792842204</v>
      </c>
      <c r="L135" s="11" t="n">
        <f aca="false">D135*(1+G135)</f>
        <v>5070.15344143567</v>
      </c>
      <c r="M135" s="14" t="n">
        <v>0</v>
      </c>
      <c r="N135" s="4" t="n">
        <v>0.779220779220779</v>
      </c>
      <c r="O135" s="3" t="str">
        <f aca="false">IF(AND(B135=4,M135=1),IF(N135&lt;0.8,"Subgrupo 7 dias; fronteira de cluster","Subgrupo 7 dias"),IF(N135&lt;0.8,"Fronteira de cluster",""))</f>
        <v>Fronteira de cluster</v>
      </c>
    </row>
    <row r="136" customFormat="false" ht="15" hidden="false" customHeight="false" outlineLevel="0" collapsed="false">
      <c r="A136" s="14" t="n">
        <v>135</v>
      </c>
      <c r="B136" s="14" t="n">
        <v>1</v>
      </c>
      <c r="C136" s="14" t="s">
        <v>30</v>
      </c>
      <c r="D136" s="15" t="n">
        <v>5952.41613316261</v>
      </c>
      <c r="E136" s="16" t="n">
        <f aca="false">INDEX(Parâmetros!$C$33:$C$37,MATCH(B136,Parâmetros!$A$33:$A$37,0))</f>
        <v>6959.92435130262</v>
      </c>
      <c r="F136" s="7" t="n">
        <f aca="false">MAX(0,(E136-D136)/D136)</f>
        <v>0.169260380255825</v>
      </c>
      <c r="G136" s="7" t="n">
        <f aca="false">MIN(K136*Parâmetros!$B$19,Parâmetros!$B$8)</f>
        <v>0.0760363617347879</v>
      </c>
      <c r="H136" s="3" t="str">
        <f aca="false">IF(F136&gt;=Parâmetros!$B$6,"Ação","Acompanhamento")</f>
        <v>Ação</v>
      </c>
      <c r="I136" s="17" t="n">
        <v>302.616772823779</v>
      </c>
      <c r="J136" s="11" t="n">
        <f aca="false">D136*I136</f>
        <v>1801300.96072187</v>
      </c>
      <c r="K136" s="7" t="n">
        <f aca="false">Parâmetros!$B$4+Parâmetros!$B$5*F136</f>
        <v>0.0623150950639562</v>
      </c>
      <c r="L136" s="11" t="n">
        <f aca="false">D136*(1+G136)</f>
        <v>6405.01619945975</v>
      </c>
      <c r="M136" s="14" t="n">
        <v>0</v>
      </c>
      <c r="N136" s="4" t="n">
        <v>1</v>
      </c>
      <c r="O136" s="3" t="str">
        <f aca="false">IF(AND(B136=4,M136=1),IF(N136&lt;0.8,"Subgrupo 7 dias; fronteira de cluster","Subgrupo 7 dias"),IF(N136&lt;0.8,"Fronteira de cluster",""))</f>
        <v/>
      </c>
    </row>
    <row r="137" customFormat="false" ht="15" hidden="false" customHeight="false" outlineLevel="0" collapsed="false">
      <c r="A137" s="14" t="n">
        <v>136</v>
      </c>
      <c r="B137" s="14" t="n">
        <v>2</v>
      </c>
      <c r="C137" s="14" t="s">
        <v>31</v>
      </c>
      <c r="D137" s="15" t="n">
        <v>5488.81832797428</v>
      </c>
      <c r="E137" s="16" t="n">
        <f aca="false">INDEX(Parâmetros!$C$33:$C$37,MATCH(B137,Parâmetros!$A$33:$A$37,0))</f>
        <v>6324.80102695764</v>
      </c>
      <c r="F137" s="7" t="n">
        <f aca="false">MAX(0,(E137-D137)/D137)</f>
        <v>0.152306498235275</v>
      </c>
      <c r="G137" s="7" t="n">
        <f aca="false">MIN(K137*Parâmetros!$B$19,Parâmetros!$B$8)</f>
        <v>0.0708646152069188</v>
      </c>
      <c r="H137" s="3" t="str">
        <f aca="false">IF(F137&gt;=Parâmetros!$B$6,"Ação","Acompanhamento")</f>
        <v>Ação</v>
      </c>
      <c r="I137" s="17" t="n">
        <v>299.511873350924</v>
      </c>
      <c r="J137" s="11" t="n">
        <f aca="false">D137*I137</f>
        <v>1643966.25989446</v>
      </c>
      <c r="K137" s="7" t="n">
        <f aca="false">Parâmetros!$B$4+Parâmetros!$B$5*F137</f>
        <v>0.0580766245588189</v>
      </c>
      <c r="L137" s="11" t="n">
        <f aca="false">D137*(1+G137)</f>
        <v>5877.78132672686</v>
      </c>
      <c r="M137" s="14" t="n">
        <v>0</v>
      </c>
      <c r="N137" s="4" t="n">
        <v>0.961538461538462</v>
      </c>
      <c r="O137" s="3" t="str">
        <f aca="false">IF(AND(B137=4,M137=1),IF(N137&lt;0.8,"Subgrupo 7 dias; fronteira de cluster","Subgrupo 7 dias"),IF(N137&lt;0.8,"Fronteira de cluster",""))</f>
        <v/>
      </c>
    </row>
    <row r="138" customFormat="false" ht="15" hidden="false" customHeight="false" outlineLevel="0" collapsed="false">
      <c r="A138" s="14" t="n">
        <v>137</v>
      </c>
      <c r="B138" s="14" t="n">
        <v>4</v>
      </c>
      <c r="C138" s="14" t="s">
        <v>33</v>
      </c>
      <c r="D138" s="15" t="n">
        <v>8274.98231511254</v>
      </c>
      <c r="E138" s="16" t="n">
        <f aca="false">INDEX(Parâmetros!$C$33:$C$37,MATCH(B138,Parâmetros!$A$33:$A$37,0))</f>
        <v>8837.10512820513</v>
      </c>
      <c r="F138" s="7" t="n">
        <f aca="false">MAX(0,(E138-D138)/D138)</f>
        <v>0.0679303944935311</v>
      </c>
      <c r="G138" s="7" t="n">
        <f aca="false">MIN(K138*Parâmetros!$B$19,Parâmetros!$B$8)</f>
        <v>0.045125859856812</v>
      </c>
      <c r="H138" s="3" t="str">
        <f aca="false">IF(F138&gt;=Parâmetros!$B$6,"Ação","Acompanhamento")</f>
        <v>Acompanhamento</v>
      </c>
      <c r="I138" s="17" t="n">
        <v>299.511873350924</v>
      </c>
      <c r="J138" s="11" t="n">
        <f aca="false">D138*I138</f>
        <v>2478455.45514512</v>
      </c>
      <c r="K138" s="7" t="n">
        <f aca="false">Parâmetros!$B$4+Parâmetros!$B$5*F138</f>
        <v>0.0369825986233828</v>
      </c>
      <c r="L138" s="11" t="n">
        <f aca="false">D138*(1+G138)</f>
        <v>8648.39800738191</v>
      </c>
      <c r="M138" s="14" t="n">
        <v>0</v>
      </c>
      <c r="N138" s="4" t="n">
        <v>1</v>
      </c>
      <c r="O138" s="3" t="str">
        <f aca="false">IF(AND(B138=4,M138=1),IF(N138&lt;0.8,"Subgrupo 7 dias; fronteira de cluster","Subgrupo 7 dias"),IF(N138&lt;0.8,"Fronteira de cluster",""))</f>
        <v/>
      </c>
    </row>
    <row r="139" customFormat="false" ht="15" hidden="false" customHeight="false" outlineLevel="0" collapsed="false">
      <c r="A139" s="14" t="n">
        <v>138</v>
      </c>
      <c r="B139" s="14" t="n">
        <v>3</v>
      </c>
      <c r="C139" s="14" t="s">
        <v>32</v>
      </c>
      <c r="D139" s="15" t="n">
        <v>7334.91794871795</v>
      </c>
      <c r="E139" s="16" t="n">
        <f aca="false">INDEX(Parâmetros!$C$33:$C$37,MATCH(B139,Parâmetros!$A$33:$A$37,0))</f>
        <v>5909.24487179487</v>
      </c>
      <c r="F139" s="7" t="n">
        <f aca="false">MAX(0,(E139-D139)/D139)</f>
        <v>0</v>
      </c>
      <c r="G139" s="7" t="n">
        <f aca="false">MIN(K139*Parâmetros!$B$19,Parâmetros!$B$8)</f>
        <v>0.0244038339849275</v>
      </c>
      <c r="H139" s="3" t="str">
        <f aca="false">IF(F139&gt;=Parâmetros!$B$6,"Ação","Acompanhamento")</f>
        <v>Acompanhamento</v>
      </c>
      <c r="I139" s="17" t="n">
        <v>302.229299363057</v>
      </c>
      <c r="J139" s="11" t="n">
        <f aca="false">D139*I139</f>
        <v>2216827.11252654</v>
      </c>
      <c r="K139" s="7" t="n">
        <f aca="false">Parâmetros!$B$4+Parâmetros!$B$5*F139</f>
        <v>0.02</v>
      </c>
      <c r="L139" s="11" t="n">
        <f aca="false">D139*(1+G139)</f>
        <v>7513.91806863153</v>
      </c>
      <c r="M139" s="14" t="n">
        <v>0</v>
      </c>
      <c r="N139" s="4" t="n">
        <v>1</v>
      </c>
      <c r="O139" s="3" t="str">
        <f aca="false">IF(AND(B139=4,M139=1),IF(N139&lt;0.8,"Subgrupo 7 dias; fronteira de cluster","Subgrupo 7 dias"),IF(N139&lt;0.8,"Fronteira de cluster",""))</f>
        <v/>
      </c>
    </row>
    <row r="140" customFormat="false" ht="15" hidden="false" customHeight="false" outlineLevel="0" collapsed="false">
      <c r="A140" s="14" t="n">
        <v>139</v>
      </c>
      <c r="B140" s="14" t="n">
        <v>1</v>
      </c>
      <c r="C140" s="14" t="s">
        <v>30</v>
      </c>
      <c r="D140" s="15" t="n">
        <v>6464.14951768489</v>
      </c>
      <c r="E140" s="16" t="n">
        <f aca="false">INDEX(Parâmetros!$C$33:$C$37,MATCH(B140,Parâmetros!$A$33:$A$37,0))</f>
        <v>6959.92435130262</v>
      </c>
      <c r="F140" s="7" t="n">
        <f aca="false">MAX(0,(E140-D140)/D140)</f>
        <v>0.0766960653155332</v>
      </c>
      <c r="G140" s="7" t="n">
        <f aca="false">MIN(K140*Parâmetros!$B$19,Parâmetros!$B$8)</f>
        <v>0.0477998095506453</v>
      </c>
      <c r="H140" s="3" t="str">
        <f aca="false">IF(F140&gt;=Parâmetros!$B$6,"Ação","Acompanhamento")</f>
        <v>Acompanhamento</v>
      </c>
      <c r="I140" s="17" t="n">
        <v>299.511873350924</v>
      </c>
      <c r="J140" s="11" t="n">
        <f aca="false">D140*I140</f>
        <v>1936089.53166227</v>
      </c>
      <c r="K140" s="7" t="n">
        <f aca="false">Parâmetros!$B$4+Parâmetros!$B$5*F140</f>
        <v>0.0391740163288833</v>
      </c>
      <c r="L140" s="11" t="n">
        <f aca="false">D140*(1+G140)</f>
        <v>6773.13463353712</v>
      </c>
      <c r="M140" s="14" t="n">
        <v>0</v>
      </c>
      <c r="N140" s="4" t="n">
        <v>1</v>
      </c>
      <c r="O140" s="3" t="str">
        <f aca="false">IF(AND(B140=4,M140=1),IF(N140&lt;0.8,"Subgrupo 7 dias; fronteira de cluster","Subgrupo 7 dias"),IF(N140&lt;0.8,"Fronteira de cluster",""))</f>
        <v/>
      </c>
    </row>
    <row r="141" customFormat="false" ht="15" hidden="false" customHeight="false" outlineLevel="0" collapsed="false">
      <c r="A141" s="14" t="n">
        <v>140</v>
      </c>
      <c r="B141" s="14" t="n">
        <v>4</v>
      </c>
      <c r="C141" s="14" t="s">
        <v>33</v>
      </c>
      <c r="D141" s="15" t="n">
        <v>7469.04993597951</v>
      </c>
      <c r="E141" s="16" t="n">
        <f aca="false">INDEX(Parâmetros!$C$33:$C$37,MATCH(B141,Parâmetros!$A$33:$A$37,0))</f>
        <v>8837.10512820513</v>
      </c>
      <c r="F141" s="7" t="n">
        <f aca="false">MAX(0,(E141-D141)/D141)</f>
        <v>0.183163214056917</v>
      </c>
      <c r="G141" s="7" t="n">
        <f aca="false">MIN(K141*Parâmetros!$B$19,Parâmetros!$B$8)</f>
        <v>0.0802773923348115</v>
      </c>
      <c r="H141" s="3" t="str">
        <f aca="false">IF(F141&gt;=Parâmetros!$B$6,"Ação","Acompanhamento")</f>
        <v>Ação</v>
      </c>
      <c r="I141" s="17" t="n">
        <v>302.616772823779</v>
      </c>
      <c r="J141" s="11" t="n">
        <f aca="false">D141*I141</f>
        <v>2260259.78768577</v>
      </c>
      <c r="K141" s="7" t="n">
        <f aca="false">Parâmetros!$B$4+Parâmetros!$B$5*F141</f>
        <v>0.0657908035142292</v>
      </c>
      <c r="L141" s="11" t="n">
        <f aca="false">D141*(1+G141)</f>
        <v>8068.64578805844</v>
      </c>
      <c r="M141" s="14" t="n">
        <v>0</v>
      </c>
      <c r="N141" s="4" t="n">
        <v>1</v>
      </c>
      <c r="O141" s="3" t="str">
        <f aca="false">IF(AND(B141=4,M141=1),IF(N141&lt;0.8,"Subgrupo 7 dias; fronteira de cluster","Subgrupo 7 dias"),IF(N141&lt;0.8,"Fronteira de cluster",""))</f>
        <v/>
      </c>
    </row>
    <row r="142" customFormat="false" ht="15" hidden="false" customHeight="false" outlineLevel="0" collapsed="false">
      <c r="A142" s="14" t="n">
        <v>141</v>
      </c>
      <c r="B142" s="14" t="n">
        <v>0</v>
      </c>
      <c r="C142" s="14" t="s">
        <v>29</v>
      </c>
      <c r="D142" s="15" t="n">
        <v>5540.74131274131</v>
      </c>
      <c r="E142" s="16" t="n">
        <f aca="false">INDEX(Parâmetros!$C$33:$C$37,MATCH(B142,Parâmetros!$A$33:$A$37,0))</f>
        <v>5476.37033462034</v>
      </c>
      <c r="F142" s="7" t="n">
        <f aca="false">MAX(0,(E142-D142)/D142)</f>
        <v>0</v>
      </c>
      <c r="G142" s="7" t="n">
        <f aca="false">MIN(K142*Parâmetros!$B$19,Parâmetros!$B$8)</f>
        <v>0.0244038339849275</v>
      </c>
      <c r="H142" s="3" t="str">
        <f aca="false">IF(F142&gt;=Parâmetros!$B$6,"Ação","Acompanhamento")</f>
        <v>Acompanhamento</v>
      </c>
      <c r="I142" s="17" t="n">
        <v>301.066878980892</v>
      </c>
      <c r="J142" s="11" t="n">
        <f aca="false">D142*I142</f>
        <v>1668133.69426752</v>
      </c>
      <c r="K142" s="7" t="n">
        <f aca="false">Parâmetros!$B$4+Parâmetros!$B$5*F142</f>
        <v>0.02</v>
      </c>
      <c r="L142" s="11" t="n">
        <f aca="false">D142*(1+G142)</f>
        <v>5675.95664389088</v>
      </c>
      <c r="M142" s="14" t="n">
        <v>0</v>
      </c>
      <c r="N142" s="4" t="n">
        <v>1</v>
      </c>
      <c r="O142" s="3" t="str">
        <f aca="false">IF(AND(B142=4,M142=1),IF(N142&lt;0.8,"Subgrupo 7 dias; fronteira de cluster","Subgrupo 7 dias"),IF(N142&lt;0.8,"Fronteira de cluster",""))</f>
        <v/>
      </c>
    </row>
    <row r="143" customFormat="false" ht="15" hidden="false" customHeight="false" outlineLevel="0" collapsed="false">
      <c r="A143" s="14" t="n">
        <v>142</v>
      </c>
      <c r="B143" s="14" t="n">
        <v>0</v>
      </c>
      <c r="C143" s="14" t="s">
        <v>29</v>
      </c>
      <c r="D143" s="15" t="n">
        <v>4603.96534017972</v>
      </c>
      <c r="E143" s="16" t="n">
        <f aca="false">INDEX(Parâmetros!$C$33:$C$37,MATCH(B143,Parâmetros!$A$33:$A$37,0))</f>
        <v>5476.37033462034</v>
      </c>
      <c r="F143" s="7" t="n">
        <f aca="false">MAX(0,(E143-D143)/D143)</f>
        <v>0.189489913581009</v>
      </c>
      <c r="G143" s="7" t="n">
        <f aca="false">MIN(K143*Parâmetros!$B$19,Parâmetros!$B$8)</f>
        <v>0.0822073388955425</v>
      </c>
      <c r="H143" s="3" t="str">
        <f aca="false">IF(F143&gt;=Parâmetros!$B$6,"Ação","Acompanhamento")</f>
        <v>Ação</v>
      </c>
      <c r="I143" s="17" t="n">
        <v>301.841825902336</v>
      </c>
      <c r="J143" s="11" t="n">
        <f aca="false">D143*I143</f>
        <v>1389669.30467091</v>
      </c>
      <c r="K143" s="7" t="n">
        <f aca="false">Parâmetros!$B$4+Parâmetros!$B$5*F143</f>
        <v>0.0673724783952523</v>
      </c>
      <c r="L143" s="11" t="n">
        <f aca="false">D143*(1+G143)</f>
        <v>4982.4450791632</v>
      </c>
      <c r="M143" s="14" t="n">
        <v>0</v>
      </c>
      <c r="N143" s="4" t="n">
        <v>1</v>
      </c>
      <c r="O143" s="3" t="str">
        <f aca="false">IF(AND(B143=4,M143=1),IF(N143&lt;0.8,"Subgrupo 7 dias; fronteira de cluster","Subgrupo 7 dias"),IF(N143&lt;0.8,"Fronteira de cluster",""))</f>
        <v/>
      </c>
    </row>
    <row r="144" customFormat="false" ht="15" hidden="false" customHeight="false" outlineLevel="0" collapsed="false">
      <c r="A144" s="14" t="n">
        <v>143</v>
      </c>
      <c r="B144" s="14" t="n">
        <v>1</v>
      </c>
      <c r="C144" s="14" t="s">
        <v>30</v>
      </c>
      <c r="D144" s="15" t="n">
        <v>6314.75609756098</v>
      </c>
      <c r="E144" s="16" t="n">
        <f aca="false">INDEX(Parâmetros!$C$33:$C$37,MATCH(B144,Parâmetros!$A$33:$A$37,0))</f>
        <v>6959.92435130262</v>
      </c>
      <c r="F144" s="7" t="n">
        <f aca="false">MAX(0,(E144-D144)/D144)</f>
        <v>0.102168356746326</v>
      </c>
      <c r="G144" s="7" t="n">
        <f aca="false">MIN(K144*Parâmetros!$B$19,Parâmetros!$B$8)</f>
        <v>0.0555700791918046</v>
      </c>
      <c r="H144" s="3" t="str">
        <f aca="false">IF(F144&gt;=Parâmetros!$B$6,"Ação","Acompanhamento")</f>
        <v>Ação</v>
      </c>
      <c r="I144" s="17" t="n">
        <v>301.841825902336</v>
      </c>
      <c r="J144" s="11" t="n">
        <f aca="false">D144*I144</f>
        <v>1906057.51061571</v>
      </c>
      <c r="K144" s="7" t="n">
        <f aca="false">Parâmetros!$B$4+Parâmetros!$B$5*F144</f>
        <v>0.0455420891865814</v>
      </c>
      <c r="L144" s="11" t="n">
        <f aca="false">D144*(1+G144)</f>
        <v>6665.66759397937</v>
      </c>
      <c r="M144" s="14" t="n">
        <v>0</v>
      </c>
      <c r="N144" s="4" t="n">
        <v>0.924050632911392</v>
      </c>
      <c r="O144" s="3" t="str">
        <f aca="false">IF(AND(B144=4,M144=1),IF(N144&lt;0.8,"Subgrupo 7 dias; fronteira de cluster","Subgrupo 7 dias"),IF(N144&lt;0.8,"Fronteira de cluster",""))</f>
        <v/>
      </c>
    </row>
    <row r="145" customFormat="false" ht="15" hidden="false" customHeight="false" outlineLevel="0" collapsed="false">
      <c r="A145" s="14" t="n">
        <v>144</v>
      </c>
      <c r="B145" s="14" t="n">
        <v>1</v>
      </c>
      <c r="C145" s="14" t="s">
        <v>30</v>
      </c>
      <c r="D145" s="15" t="n">
        <v>7718.2064</v>
      </c>
      <c r="E145" s="16" t="n">
        <f aca="false">INDEX(Parâmetros!$C$33:$C$37,MATCH(B145,Parâmetros!$A$33:$A$37,0))</f>
        <v>6959.92435130262</v>
      </c>
      <c r="F145" s="7" t="n">
        <f aca="false">MAX(0,(E145-D145)/D145)</f>
        <v>0</v>
      </c>
      <c r="G145" s="7" t="n">
        <f aca="false">MIN(K145*Parâmetros!$B$19,Parâmetros!$B$8)</f>
        <v>0.0244038339849275</v>
      </c>
      <c r="H145" s="3" t="str">
        <f aca="false">IF(F145&gt;=Parâmetros!$B$6,"Ação","Acompanhamento")</f>
        <v>Acompanhamento</v>
      </c>
      <c r="I145" s="17" t="n">
        <v>300.956464379947</v>
      </c>
      <c r="J145" s="11" t="n">
        <f aca="false">D145*I145</f>
        <v>2322844.10949868</v>
      </c>
      <c r="K145" s="7" t="n">
        <f aca="false">Parâmetros!$B$4+Parâmetros!$B$5*F145</f>
        <v>0.02</v>
      </c>
      <c r="L145" s="11" t="n">
        <f aca="false">D145*(1+G145)</f>
        <v>7906.56022764701</v>
      </c>
      <c r="M145" s="14" t="n">
        <v>0</v>
      </c>
      <c r="N145" s="4" t="n">
        <v>0.871794871794872</v>
      </c>
      <c r="O145" s="3" t="str">
        <f aca="false">IF(AND(B145=4,M145=1),IF(N145&lt;0.8,"Subgrupo 7 dias; fronteira de cluster","Subgrupo 7 dias"),IF(N145&lt;0.8,"Fronteira de cluster",""))</f>
        <v/>
      </c>
    </row>
    <row r="146" customFormat="false" ht="15" hidden="false" customHeight="false" outlineLevel="0" collapsed="false">
      <c r="A146" s="14" t="n">
        <v>145</v>
      </c>
      <c r="B146" s="14" t="n">
        <v>4</v>
      </c>
      <c r="C146" s="14" t="s">
        <v>33</v>
      </c>
      <c r="D146" s="15" t="n">
        <v>8342.26315789474</v>
      </c>
      <c r="E146" s="16" t="n">
        <f aca="false">INDEX(Parâmetros!$C$33:$C$37,MATCH(B146,Parâmetros!$A$33:$A$37,0))</f>
        <v>8837.10512820513</v>
      </c>
      <c r="F146" s="7" t="n">
        <f aca="false">MAX(0,(E146-D146)/D146)</f>
        <v>0.0593174730818814</v>
      </c>
      <c r="G146" s="7" t="n">
        <f aca="false">MIN(K146*Parâmetros!$B$19,Parâmetros!$B$8)</f>
        <v>0.0424985060536229</v>
      </c>
      <c r="H146" s="3" t="str">
        <f aca="false">IF(F146&gt;=Parâmetros!$B$6,"Ação","Acompanhamento")</f>
        <v>Acompanhamento</v>
      </c>
      <c r="I146" s="17" t="n">
        <v>292.770448548813</v>
      </c>
      <c r="J146" s="11" t="n">
        <f aca="false">D146*I146</f>
        <v>2442368.12664908</v>
      </c>
      <c r="K146" s="7" t="n">
        <f aca="false">Parâmetros!$B$4+Parâmetros!$B$5*F146</f>
        <v>0.0348293682704704</v>
      </c>
      <c r="L146" s="11" t="n">
        <f aca="false">D146*(1+G146)</f>
        <v>8696.79687921144</v>
      </c>
      <c r="M146" s="14" t="n">
        <v>0</v>
      </c>
      <c r="N146" s="4" t="n">
        <v>0.938271604938272</v>
      </c>
      <c r="O146" s="3" t="str">
        <f aca="false">IF(AND(B146=4,M146=1),IF(N146&lt;0.8,"Subgrupo 7 dias; fronteira de cluster","Subgrupo 7 dias"),IF(N146&lt;0.8,"Fronteira de cluster",""))</f>
        <v/>
      </c>
    </row>
    <row r="147" customFormat="false" ht="15" hidden="false" customHeight="false" outlineLevel="0" collapsed="false">
      <c r="A147" s="14" t="n">
        <v>146</v>
      </c>
      <c r="B147" s="14" t="n">
        <v>1</v>
      </c>
      <c r="C147" s="14" t="s">
        <v>30</v>
      </c>
      <c r="D147" s="15" t="n">
        <v>7812.83055198973</v>
      </c>
      <c r="E147" s="16" t="n">
        <f aca="false">INDEX(Parâmetros!$C$33:$C$37,MATCH(B147,Parâmetros!$A$33:$A$37,0))</f>
        <v>6959.92435130262</v>
      </c>
      <c r="F147" s="7" t="n">
        <f aca="false">MAX(0,(E147-D147)/D147)</f>
        <v>0</v>
      </c>
      <c r="G147" s="7" t="n">
        <f aca="false">MIN(K147*Parâmetros!$B$19,Parâmetros!$B$8)</f>
        <v>0.0244038339849275</v>
      </c>
      <c r="H147" s="3" t="str">
        <f aca="false">IF(F147&gt;=Parâmetros!$B$6,"Ação","Acompanhamento")</f>
        <v>Acompanhamento</v>
      </c>
      <c r="I147" s="17" t="n">
        <v>301.841825902336</v>
      </c>
      <c r="J147" s="11" t="n">
        <f aca="false">D147*I147</f>
        <v>2358239.03927813</v>
      </c>
      <c r="K147" s="7" t="n">
        <f aca="false">Parâmetros!$B$4+Parâmetros!$B$5*F147</f>
        <v>0.02</v>
      </c>
      <c r="L147" s="11" t="n">
        <f aca="false">D147*(1+G147)</f>
        <v>8003.49357173286</v>
      </c>
      <c r="M147" s="14" t="n">
        <v>0</v>
      </c>
      <c r="N147" s="4" t="n">
        <v>1</v>
      </c>
      <c r="O147" s="3" t="str">
        <f aca="false">IF(AND(B147=4,M147=1),IF(N147&lt;0.8,"Subgrupo 7 dias; fronteira de cluster","Subgrupo 7 dias"),IF(N147&lt;0.8,"Fronteira de cluster",""))</f>
        <v/>
      </c>
    </row>
    <row r="148" customFormat="false" ht="15" hidden="false" customHeight="false" outlineLevel="0" collapsed="false">
      <c r="A148" s="14" t="n">
        <v>147</v>
      </c>
      <c r="B148" s="14" t="n">
        <v>1</v>
      </c>
      <c r="C148" s="14" t="s">
        <v>30</v>
      </c>
      <c r="D148" s="15" t="n">
        <v>8212.55840821566</v>
      </c>
      <c r="E148" s="16" t="n">
        <f aca="false">INDEX(Parâmetros!$C$33:$C$37,MATCH(B148,Parâmetros!$A$33:$A$37,0))</f>
        <v>6959.92435130262</v>
      </c>
      <c r="F148" s="7" t="n">
        <f aca="false">MAX(0,(E148-D148)/D148)</f>
        <v>0</v>
      </c>
      <c r="G148" s="7" t="n">
        <f aca="false">MIN(K148*Parâmetros!$B$19,Parâmetros!$B$8)</f>
        <v>0.0244038339849275</v>
      </c>
      <c r="H148" s="3" t="str">
        <f aca="false">IF(F148&gt;=Parâmetros!$B$6,"Ação","Acompanhamento")</f>
        <v>Acompanhamento</v>
      </c>
      <c r="I148" s="17" t="n">
        <v>301.841825902336</v>
      </c>
      <c r="J148" s="11" t="n">
        <f aca="false">D148*I148</f>
        <v>2478893.62526539</v>
      </c>
      <c r="K148" s="7" t="n">
        <f aca="false">Parâmetros!$B$4+Parâmetros!$B$5*F148</f>
        <v>0.02</v>
      </c>
      <c r="L148" s="11" t="n">
        <f aca="false">D148*(1+G148)</f>
        <v>8412.97632020128</v>
      </c>
      <c r="M148" s="14" t="n">
        <v>0</v>
      </c>
      <c r="N148" s="4" t="n">
        <v>1</v>
      </c>
      <c r="O148" s="3" t="str">
        <f aca="false">IF(AND(B148=4,M148=1),IF(N148&lt;0.8,"Subgrupo 7 dias; fronteira de cluster","Subgrupo 7 dias"),IF(N148&lt;0.8,"Fronteira de cluster",""))</f>
        <v/>
      </c>
    </row>
    <row r="149" customFormat="false" ht="15" hidden="false" customHeight="false" outlineLevel="0" collapsed="false">
      <c r="A149" s="14" t="n">
        <v>148</v>
      </c>
      <c r="B149" s="14" t="n">
        <v>4</v>
      </c>
      <c r="C149" s="14" t="s">
        <v>33</v>
      </c>
      <c r="D149" s="15" t="n">
        <v>8638.96556122449</v>
      </c>
      <c r="E149" s="16" t="n">
        <f aca="false">INDEX(Parâmetros!$C$33:$C$37,MATCH(B149,Parâmetros!$A$33:$A$37,0))</f>
        <v>8837.10512820513</v>
      </c>
      <c r="F149" s="7" t="n">
        <f aca="false">MAX(0,(E149-D149)/D149)</f>
        <v>0.0229355662522811</v>
      </c>
      <c r="G149" s="7" t="n">
        <f aca="false">MIN(K149*Parâmetros!$B$19,Parâmetros!$B$8)</f>
        <v>0.0314002808745646</v>
      </c>
      <c r="H149" s="3" t="str">
        <f aca="false">IF(F149&gt;=Parâmetros!$B$6,"Ação","Acompanhamento")</f>
        <v>Acompanhamento</v>
      </c>
      <c r="I149" s="17" t="n">
        <v>303.779193205945</v>
      </c>
      <c r="J149" s="11" t="n">
        <f aca="false">D149*I149</f>
        <v>2624337.98832272</v>
      </c>
      <c r="K149" s="7" t="n">
        <f aca="false">Parâmetros!$B$4+Parâmetros!$B$5*F149</f>
        <v>0.0257338915630703</v>
      </c>
      <c r="L149" s="11" t="n">
        <f aca="false">D149*(1+G149)</f>
        <v>8910.23150631263</v>
      </c>
      <c r="M149" s="14" t="n">
        <v>0</v>
      </c>
      <c r="N149" s="4" t="n">
        <v>0.987951807228916</v>
      </c>
      <c r="O149" s="3" t="str">
        <f aca="false">IF(AND(B149=4,M149=1),IF(N149&lt;0.8,"Subgrupo 7 dias; fronteira de cluster","Subgrupo 7 dias"),IF(N149&lt;0.8,"Fronteira de cluster",""))</f>
        <v/>
      </c>
    </row>
    <row r="150" customFormat="false" ht="15" hidden="false" customHeight="false" outlineLevel="0" collapsed="false">
      <c r="A150" s="14" t="n">
        <v>149</v>
      </c>
      <c r="B150" s="14" t="n">
        <v>1</v>
      </c>
      <c r="C150" s="14" t="s">
        <v>30</v>
      </c>
      <c r="D150" s="15" t="n">
        <v>5567.48392282958</v>
      </c>
      <c r="E150" s="16" t="n">
        <f aca="false">INDEX(Parâmetros!$C$33:$C$37,MATCH(B150,Parâmetros!$A$33:$A$37,0))</f>
        <v>6959.92435130262</v>
      </c>
      <c r="F150" s="7" t="n">
        <f aca="false">MAX(0,(E150-D150)/D150)</f>
        <v>0.250102280989678</v>
      </c>
      <c r="G150" s="7" t="n">
        <f aca="false">MIN(K150*Parâmetros!$B$19,Parâmetros!$B$8)</f>
        <v>0.100697015791475</v>
      </c>
      <c r="H150" s="3" t="str">
        <f aca="false">IF(F150&gt;=Parâmetros!$B$6,"Ação","Acompanhamento")</f>
        <v>Ação</v>
      </c>
      <c r="I150" s="17" t="n">
        <v>299.511873350924</v>
      </c>
      <c r="J150" s="11" t="n">
        <f aca="false">D150*I150</f>
        <v>1667527.53957784</v>
      </c>
      <c r="K150" s="7" t="n">
        <f aca="false">Parâmetros!$B$4+Parâmetros!$B$5*F150</f>
        <v>0.0825255702474195</v>
      </c>
      <c r="L150" s="11" t="n">
        <f aca="false">D150*(1+G150)</f>
        <v>6128.11293932553</v>
      </c>
      <c r="M150" s="14" t="n">
        <v>0</v>
      </c>
      <c r="N150" s="4" t="n">
        <v>1</v>
      </c>
      <c r="O150" s="3" t="str">
        <f aca="false">IF(AND(B150=4,M150=1),IF(N150&lt;0.8,"Subgrupo 7 dias; fronteira de cluster","Subgrupo 7 dias"),IF(N150&lt;0.8,"Fronteira de cluster",""))</f>
        <v/>
      </c>
    </row>
    <row r="151" customFormat="false" ht="15" hidden="false" customHeight="false" outlineLevel="0" collapsed="false">
      <c r="A151" s="14" t="n">
        <v>150</v>
      </c>
      <c r="B151" s="14" t="n">
        <v>1</v>
      </c>
      <c r="C151" s="14" t="s">
        <v>30</v>
      </c>
      <c r="D151" s="15" t="n">
        <v>8417.24107142857</v>
      </c>
      <c r="E151" s="16" t="n">
        <f aca="false">INDEX(Parâmetros!$C$33:$C$37,MATCH(B151,Parâmetros!$A$33:$A$37,0))</f>
        <v>6959.92435130262</v>
      </c>
      <c r="F151" s="7" t="n">
        <f aca="false">MAX(0,(E151-D151)/D151)</f>
        <v>0</v>
      </c>
      <c r="G151" s="7" t="n">
        <f aca="false">MIN(K151*Parâmetros!$B$19,Parâmetros!$B$8)</f>
        <v>0.0244038339849275</v>
      </c>
      <c r="H151" s="3" t="str">
        <f aca="false">IF(F151&gt;=Parâmetros!$B$6,"Ação","Acompanhamento")</f>
        <v>Acompanhamento</v>
      </c>
      <c r="I151" s="17" t="n">
        <v>303.779193205945</v>
      </c>
      <c r="J151" s="11" t="n">
        <f aca="false">D151*I151</f>
        <v>2556982.70169851</v>
      </c>
      <c r="K151" s="7" t="n">
        <f aca="false">Parâmetros!$B$4+Parâmetros!$B$5*F151</f>
        <v>0.02</v>
      </c>
      <c r="L151" s="11" t="n">
        <f aca="false">D151*(1+G151)</f>
        <v>8622.65402514683</v>
      </c>
      <c r="M151" s="14" t="n">
        <v>0</v>
      </c>
      <c r="N151" s="4" t="n">
        <v>1</v>
      </c>
      <c r="O151" s="3" t="str">
        <f aca="false">IF(AND(B151=4,M151=1),IF(N151&lt;0.8,"Subgrupo 7 dias; fronteira de cluster","Subgrupo 7 dias"),IF(N151&lt;0.8,"Fronteira de cluster",""))</f>
        <v/>
      </c>
    </row>
    <row r="152" customFormat="false" ht="15" hidden="false" customHeight="false" outlineLevel="0" collapsed="false">
      <c r="A152" s="14" t="n">
        <v>151</v>
      </c>
      <c r="B152" s="14" t="n">
        <v>1</v>
      </c>
      <c r="C152" s="14" t="s">
        <v>30</v>
      </c>
      <c r="D152" s="15" t="n">
        <v>6755.7641025641</v>
      </c>
      <c r="E152" s="16" t="n">
        <f aca="false">INDEX(Parâmetros!$C$33:$C$37,MATCH(B152,Parâmetros!$A$33:$A$37,0))</f>
        <v>6959.92435130262</v>
      </c>
      <c r="F152" s="7" t="n">
        <f aca="false">MAX(0,(E152-D152)/D152)</f>
        <v>0.0302201565417347</v>
      </c>
      <c r="G152" s="7" t="n">
        <f aca="false">MIN(K152*Parâmetros!$B$19,Parâmetros!$B$8)</f>
        <v>0.0336224300254651</v>
      </c>
      <c r="H152" s="3" t="str">
        <f aca="false">IF(F152&gt;=Parâmetros!$B$6,"Ação","Acompanhamento")</f>
        <v>Acompanhamento</v>
      </c>
      <c r="I152" s="17" t="n">
        <v>302.229299363057</v>
      </c>
      <c r="J152" s="11" t="n">
        <f aca="false">D152*I152</f>
        <v>2041789.85138004</v>
      </c>
      <c r="K152" s="7" t="n">
        <f aca="false">Parâmetros!$B$4+Parâmetros!$B$5*F152</f>
        <v>0.0275550391354337</v>
      </c>
      <c r="L152" s="11" t="n">
        <f aca="false">D152*(1+G152)</f>
        <v>6982.90930837111</v>
      </c>
      <c r="M152" s="14" t="n">
        <v>0</v>
      </c>
      <c r="N152" s="4" t="n">
        <v>1</v>
      </c>
      <c r="O152" s="3" t="str">
        <f aca="false">IF(AND(B152=4,M152=1),IF(N152&lt;0.8,"Subgrupo 7 dias; fronteira de cluster","Subgrupo 7 dias"),IF(N152&lt;0.8,"Fronteira de cluster",""))</f>
        <v/>
      </c>
    </row>
    <row r="153" customFormat="false" ht="15" hidden="false" customHeight="false" outlineLevel="0" collapsed="false">
      <c r="A153" s="14" t="n">
        <v>152</v>
      </c>
      <c r="B153" s="14" t="n">
        <v>3</v>
      </c>
      <c r="C153" s="14" t="s">
        <v>32</v>
      </c>
      <c r="D153" s="15" t="n">
        <v>5541.93966623877</v>
      </c>
      <c r="E153" s="16" t="n">
        <f aca="false">INDEX(Parâmetros!$C$33:$C$37,MATCH(B153,Parâmetros!$A$33:$A$37,0))</f>
        <v>5909.24487179487</v>
      </c>
      <c r="F153" s="7" t="n">
        <f aca="false">MAX(0,(E153-D153)/D153)</f>
        <v>0.0662773735689888</v>
      </c>
      <c r="G153" s="7" t="n">
        <f aca="false">MIN(K153*Parâmetros!$B$19,Parâmetros!$B$8)</f>
        <v>0.0446216092541102</v>
      </c>
      <c r="H153" s="3" t="str">
        <f aca="false">IF(F153&gt;=Parâmetros!$B$6,"Ação","Acompanhamento")</f>
        <v>Acompanhamento</v>
      </c>
      <c r="I153" s="17" t="n">
        <v>301.841825902336</v>
      </c>
      <c r="J153" s="11" t="n">
        <f aca="false">D153*I153</f>
        <v>1672789.18789809</v>
      </c>
      <c r="K153" s="7" t="n">
        <f aca="false">Parâmetros!$B$4+Parâmetros!$B$5*F153</f>
        <v>0.0365693433922472</v>
      </c>
      <c r="L153" s="11" t="n">
        <f aca="false">D153*(1+G153)</f>
        <v>5789.22993253553</v>
      </c>
      <c r="M153" s="14" t="n">
        <v>0</v>
      </c>
      <c r="N153" s="4" t="n">
        <v>0.8625</v>
      </c>
      <c r="O153" s="3" t="str">
        <f aca="false">IF(AND(B153=4,M153=1),IF(N153&lt;0.8,"Subgrupo 7 dias; fronteira de cluster","Subgrupo 7 dias"),IF(N153&lt;0.8,"Fronteira de cluster",""))</f>
        <v/>
      </c>
    </row>
    <row r="154" customFormat="false" ht="15" hidden="false" customHeight="false" outlineLevel="0" collapsed="false">
      <c r="A154" s="14" t="n">
        <v>153</v>
      </c>
      <c r="B154" s="14" t="n">
        <v>3</v>
      </c>
      <c r="C154" s="14" t="s">
        <v>32</v>
      </c>
      <c r="D154" s="15" t="n">
        <v>7066.81258023107</v>
      </c>
      <c r="E154" s="16" t="n">
        <f aca="false">INDEX(Parâmetros!$C$33:$C$37,MATCH(B154,Parâmetros!$A$33:$A$37,0))</f>
        <v>5909.24487179487</v>
      </c>
      <c r="F154" s="7" t="n">
        <f aca="false">MAX(0,(E154-D154)/D154)</f>
        <v>0</v>
      </c>
      <c r="G154" s="7" t="n">
        <f aca="false">MIN(K154*Parâmetros!$B$19,Parâmetros!$B$8)</f>
        <v>0.0244038339849275</v>
      </c>
      <c r="H154" s="3" t="str">
        <f aca="false">IF(F154&gt;=Parâmetros!$B$6,"Ação","Acompanhamento")</f>
        <v>Acompanhamento</v>
      </c>
      <c r="I154" s="17" t="n">
        <v>301.841825902336</v>
      </c>
      <c r="J154" s="11" t="n">
        <f aca="false">D154*I154</f>
        <v>2133059.61252654</v>
      </c>
      <c r="K154" s="7" t="n">
        <f aca="false">Parâmetros!$B$4+Parâmetros!$B$5*F154</f>
        <v>0.02</v>
      </c>
      <c r="L154" s="11" t="n">
        <f aca="false">D154*(1+G154)</f>
        <v>7239.26990124162</v>
      </c>
      <c r="M154" s="14" t="n">
        <v>0</v>
      </c>
      <c r="N154" s="4" t="n">
        <v>1</v>
      </c>
      <c r="O154" s="3" t="str">
        <f aca="false">IF(AND(B154=4,M154=1),IF(N154&lt;0.8,"Subgrupo 7 dias; fronteira de cluster","Subgrupo 7 dias"),IF(N154&lt;0.8,"Fronteira de cluster",""))</f>
        <v/>
      </c>
    </row>
    <row r="155" customFormat="false" ht="15" hidden="false" customHeight="false" outlineLevel="0" collapsed="false">
      <c r="A155" s="14" t="n">
        <v>154</v>
      </c>
      <c r="B155" s="14" t="n">
        <v>1</v>
      </c>
      <c r="C155" s="14" t="s">
        <v>30</v>
      </c>
      <c r="D155" s="15" t="n">
        <v>8737.57362355954</v>
      </c>
      <c r="E155" s="16" t="n">
        <f aca="false">INDEX(Parâmetros!$C$33:$C$37,MATCH(B155,Parâmetros!$A$33:$A$37,0))</f>
        <v>6959.92435130262</v>
      </c>
      <c r="F155" s="7" t="n">
        <f aca="false">MAX(0,(E155-D155)/D155)</f>
        <v>0</v>
      </c>
      <c r="G155" s="7" t="n">
        <f aca="false">MIN(K155*Parâmetros!$B$19,Parâmetros!$B$8)</f>
        <v>0.0244038339849275</v>
      </c>
      <c r="H155" s="3" t="str">
        <f aca="false">IF(F155&gt;=Parâmetros!$B$6,"Ação","Acompanhamento")</f>
        <v>Acompanhamento</v>
      </c>
      <c r="I155" s="17" t="n">
        <v>302.616772823779</v>
      </c>
      <c r="J155" s="11" t="n">
        <f aca="false">D155*I155</f>
        <v>2644136.33227176</v>
      </c>
      <c r="K155" s="7" t="n">
        <f aca="false">Parâmetros!$B$4+Parâmetros!$B$5*F155</f>
        <v>0.02</v>
      </c>
      <c r="L155" s="11" t="n">
        <f aca="false">D155*(1+G155)</f>
        <v>8950.80391969997</v>
      </c>
      <c r="M155" s="14" t="n">
        <v>0</v>
      </c>
      <c r="N155" s="4" t="n">
        <v>1</v>
      </c>
      <c r="O155" s="3" t="str">
        <f aca="false">IF(AND(B155=4,M155=1),IF(N155&lt;0.8,"Subgrupo 7 dias; fronteira de cluster","Subgrupo 7 dias"),IF(N155&lt;0.8,"Fronteira de cluster",""))</f>
        <v/>
      </c>
    </row>
    <row r="156" customFormat="false" ht="15" hidden="false" customHeight="false" outlineLevel="0" collapsed="false">
      <c r="A156" s="14" t="n">
        <v>155</v>
      </c>
      <c r="B156" s="14" t="n">
        <v>1</v>
      </c>
      <c r="C156" s="14" t="s">
        <v>30</v>
      </c>
      <c r="D156" s="15" t="n">
        <v>6886.85232744783</v>
      </c>
      <c r="E156" s="16" t="n">
        <f aca="false">INDEX(Parâmetros!$C$33:$C$37,MATCH(B156,Parâmetros!$A$33:$A$37,0))</f>
        <v>6959.92435130262</v>
      </c>
      <c r="F156" s="7" t="n">
        <f aca="false">MAX(0,(E156-D156)/D156)</f>
        <v>0.010610366010544</v>
      </c>
      <c r="G156" s="7" t="n">
        <f aca="false">MIN(K156*Parâmetros!$B$19,Parâmetros!$B$8)</f>
        <v>0.0276405041179354</v>
      </c>
      <c r="H156" s="3" t="str">
        <f aca="false">IF(F156&gt;=Parâmetros!$B$6,"Ação","Acompanhamento")</f>
        <v>Acompanhamento</v>
      </c>
      <c r="I156" s="17" t="n">
        <v>299.993403693931</v>
      </c>
      <c r="J156" s="11" t="n">
        <f aca="false">D156*I156</f>
        <v>2066010.27044855</v>
      </c>
      <c r="K156" s="7" t="n">
        <f aca="false">Parâmetros!$B$4+Parâmetros!$B$5*F156</f>
        <v>0.022652591502636</v>
      </c>
      <c r="L156" s="11" t="n">
        <f aca="false">D156*(1+G156)</f>
        <v>7077.20839756427</v>
      </c>
      <c r="M156" s="14" t="n">
        <v>0</v>
      </c>
      <c r="N156" s="4" t="n">
        <v>1</v>
      </c>
      <c r="O156" s="3" t="str">
        <f aca="false">IF(AND(B156=4,M156=1),IF(N156&lt;0.8,"Subgrupo 7 dias; fronteira de cluster","Subgrupo 7 dias"),IF(N156&lt;0.8,"Fronteira de cluster",""))</f>
        <v/>
      </c>
    </row>
    <row r="157" customFormat="false" ht="15" hidden="false" customHeight="false" outlineLevel="0" collapsed="false">
      <c r="A157" s="14" t="n">
        <v>156</v>
      </c>
      <c r="B157" s="14" t="n">
        <v>3</v>
      </c>
      <c r="C157" s="14" t="s">
        <v>32</v>
      </c>
      <c r="D157" s="15" t="n">
        <v>6961.61125319693</v>
      </c>
      <c r="E157" s="16" t="n">
        <f aca="false">INDEX(Parâmetros!$C$33:$C$37,MATCH(B157,Parâmetros!$A$33:$A$37,0))</f>
        <v>5909.24487179487</v>
      </c>
      <c r="F157" s="7" t="n">
        <f aca="false">MAX(0,(E157-D157)/D157)</f>
        <v>0</v>
      </c>
      <c r="G157" s="7" t="n">
        <f aca="false">MIN(K157*Parâmetros!$B$19,Parâmetros!$B$8)</f>
        <v>0.0244038339849275</v>
      </c>
      <c r="H157" s="3" t="str">
        <f aca="false">IF(F157&gt;=Parâmetros!$B$6,"Ação","Acompanhamento")</f>
        <v>Acompanhamento</v>
      </c>
      <c r="I157" s="17" t="n">
        <v>303.004246284501</v>
      </c>
      <c r="J157" s="11" t="n">
        <f aca="false">D157*I157</f>
        <v>2109397.77070064</v>
      </c>
      <c r="K157" s="7" t="n">
        <f aca="false">Parâmetros!$B$4+Parâmetros!$B$5*F157</f>
        <v>0.02</v>
      </c>
      <c r="L157" s="11" t="n">
        <f aca="false">D157*(1+G157)</f>
        <v>7131.50125848755</v>
      </c>
      <c r="M157" s="14" t="n">
        <v>0</v>
      </c>
      <c r="N157" s="4" t="n">
        <v>1</v>
      </c>
      <c r="O157" s="3" t="str">
        <f aca="false">IF(AND(B157=4,M157=1),IF(N157&lt;0.8,"Subgrupo 7 dias; fronteira de cluster","Subgrupo 7 dias"),IF(N157&lt;0.8,"Fronteira de cluster",""))</f>
        <v/>
      </c>
    </row>
    <row r="158" customFormat="false" ht="15" hidden="false" customHeight="false" outlineLevel="0" collapsed="false">
      <c r="A158" s="14" t="n">
        <v>157</v>
      </c>
      <c r="B158" s="14" t="n">
        <v>1</v>
      </c>
      <c r="C158" s="14" t="s">
        <v>30</v>
      </c>
      <c r="D158" s="15" t="n">
        <v>9722.79075738126</v>
      </c>
      <c r="E158" s="16" t="n">
        <f aca="false">INDEX(Parâmetros!$C$33:$C$37,MATCH(B158,Parâmetros!$A$33:$A$37,0))</f>
        <v>6959.92435130262</v>
      </c>
      <c r="F158" s="7" t="n">
        <f aca="false">MAX(0,(E158-D158)/D158)</f>
        <v>0</v>
      </c>
      <c r="G158" s="7" t="n">
        <f aca="false">MIN(K158*Parâmetros!$B$19,Parâmetros!$B$8)</f>
        <v>0.0244038339849275</v>
      </c>
      <c r="H158" s="3" t="str">
        <f aca="false">IF(F158&gt;=Parâmetros!$B$6,"Ação","Acompanhamento")</f>
        <v>Acompanhamento</v>
      </c>
      <c r="I158" s="17" t="n">
        <v>301.841825902336</v>
      </c>
      <c r="J158" s="11" t="n">
        <f aca="false">D158*I158</f>
        <v>2934744.91507431</v>
      </c>
      <c r="K158" s="7" t="n">
        <f aca="false">Parâmetros!$B$4+Parâmetros!$B$5*F158</f>
        <v>0.02</v>
      </c>
      <c r="L158" s="11" t="n">
        <f aca="false">D158*(1+G158)</f>
        <v>9960.06412889458</v>
      </c>
      <c r="M158" s="14" t="n">
        <v>0</v>
      </c>
      <c r="N158" s="4" t="n">
        <v>1</v>
      </c>
      <c r="O158" s="3" t="str">
        <f aca="false">IF(AND(B158=4,M158=1),IF(N158&lt;0.8,"Subgrupo 7 dias; fronteira de cluster","Subgrupo 7 dias"),IF(N158&lt;0.8,"Fronteira de cluster",""))</f>
        <v/>
      </c>
    </row>
    <row r="159" customFormat="false" ht="15" hidden="false" customHeight="false" outlineLevel="0" collapsed="false">
      <c r="A159" s="14" t="n">
        <v>158</v>
      </c>
      <c r="B159" s="14" t="n">
        <v>1</v>
      </c>
      <c r="C159" s="14" t="s">
        <v>30</v>
      </c>
      <c r="D159" s="15" t="n">
        <v>8156.86521181001</v>
      </c>
      <c r="E159" s="16" t="n">
        <f aca="false">INDEX(Parâmetros!$C$33:$C$37,MATCH(B159,Parâmetros!$A$33:$A$37,0))</f>
        <v>6959.92435130262</v>
      </c>
      <c r="F159" s="7" t="n">
        <f aca="false">MAX(0,(E159-D159)/D159)</f>
        <v>0</v>
      </c>
      <c r="G159" s="7" t="n">
        <f aca="false">MIN(K159*Parâmetros!$B$19,Parâmetros!$B$8)</f>
        <v>0.0244038339849275</v>
      </c>
      <c r="H159" s="3" t="str">
        <f aca="false">IF(F159&gt;=Parâmetros!$B$6,"Ação","Acompanhamento")</f>
        <v>Acompanhamento</v>
      </c>
      <c r="I159" s="17" t="n">
        <v>301.841825902336</v>
      </c>
      <c r="J159" s="11" t="n">
        <f aca="false">D159*I159</f>
        <v>2462083.08917197</v>
      </c>
      <c r="K159" s="7" t="n">
        <f aca="false">Parâmetros!$B$4+Parâmetros!$B$5*F159</f>
        <v>0.02</v>
      </c>
      <c r="L159" s="11" t="n">
        <f aca="false">D159*(1+G159)</f>
        <v>8355.92399627646</v>
      </c>
      <c r="M159" s="14" t="n">
        <v>0</v>
      </c>
      <c r="N159" s="4" t="n">
        <v>1</v>
      </c>
      <c r="O159" s="3" t="str">
        <f aca="false">IF(AND(B159=4,M159=1),IF(N159&lt;0.8,"Subgrupo 7 dias; fronteira de cluster","Subgrupo 7 dias"),IF(N159&lt;0.8,"Fronteira de cluster",""))</f>
        <v/>
      </c>
    </row>
    <row r="160" customFormat="false" ht="15" hidden="false" customHeight="false" outlineLevel="0" collapsed="false">
      <c r="A160" s="14" t="n">
        <v>159</v>
      </c>
      <c r="B160" s="14" t="n">
        <v>1</v>
      </c>
      <c r="C160" s="14" t="s">
        <v>30</v>
      </c>
      <c r="D160" s="15" t="n">
        <v>7748.60834670947</v>
      </c>
      <c r="E160" s="16" t="n">
        <f aca="false">INDEX(Parâmetros!$C$33:$C$37,MATCH(B160,Parâmetros!$A$33:$A$37,0))</f>
        <v>6959.92435130262</v>
      </c>
      <c r="F160" s="7" t="n">
        <f aca="false">MAX(0,(E160-D160)/D160)</f>
        <v>0</v>
      </c>
      <c r="G160" s="7" t="n">
        <f aca="false">MIN(K160*Parâmetros!$B$19,Parâmetros!$B$8)</f>
        <v>0.0244038339849275</v>
      </c>
      <c r="H160" s="3" t="str">
        <f aca="false">IF(F160&gt;=Parâmetros!$B$6,"Ação","Acompanhamento")</f>
        <v>Acompanhamento</v>
      </c>
      <c r="I160" s="17" t="n">
        <v>299.993403693931</v>
      </c>
      <c r="J160" s="11" t="n">
        <f aca="false">D160*I160</f>
        <v>2324531.39182058</v>
      </c>
      <c r="K160" s="7" t="n">
        <f aca="false">Parâmetros!$B$4+Parâmetros!$B$5*F160</f>
        <v>0.02</v>
      </c>
      <c r="L160" s="11" t="n">
        <f aca="false">D160*(1+G160)</f>
        <v>7937.70409841679</v>
      </c>
      <c r="M160" s="14" t="n">
        <v>0</v>
      </c>
      <c r="N160" s="4" t="n">
        <v>1</v>
      </c>
      <c r="O160" s="3" t="str">
        <f aca="false">IF(AND(B160=4,M160=1),IF(N160&lt;0.8,"Subgrupo 7 dias; fronteira de cluster","Subgrupo 7 dias"),IF(N160&lt;0.8,"Fronteira de cluster",""))</f>
        <v/>
      </c>
    </row>
    <row r="161" customFormat="false" ht="15" hidden="false" customHeight="false" outlineLevel="0" collapsed="false">
      <c r="A161" s="14" t="n">
        <v>160</v>
      </c>
      <c r="B161" s="14" t="n">
        <v>1</v>
      </c>
      <c r="C161" s="14" t="s">
        <v>30</v>
      </c>
      <c r="D161" s="15" t="n">
        <v>5730.65813060179</v>
      </c>
      <c r="E161" s="16" t="n">
        <f aca="false">INDEX(Parâmetros!$C$33:$C$37,MATCH(B161,Parâmetros!$A$33:$A$37,0))</f>
        <v>6959.92435130262</v>
      </c>
      <c r="F161" s="7" t="n">
        <f aca="false">MAX(0,(E161-D161)/D161)</f>
        <v>0.214506989020429</v>
      </c>
      <c r="G161" s="7" t="n">
        <f aca="false">MIN(K161*Parâmetros!$B$19,Parâmetros!$B$8)</f>
        <v>0.0898387458431924</v>
      </c>
      <c r="H161" s="3" t="str">
        <f aca="false">IF(F161&gt;=Parâmetros!$B$6,"Ação","Acompanhamento")</f>
        <v>Ação</v>
      </c>
      <c r="I161" s="17" t="n">
        <v>302.616772823779</v>
      </c>
      <c r="J161" s="11" t="n">
        <f aca="false">D161*I161</f>
        <v>1734193.26963907</v>
      </c>
      <c r="K161" s="7" t="n">
        <f aca="false">Parâmetros!$B$4+Parâmetros!$B$5*F161</f>
        <v>0.0736267472551072</v>
      </c>
      <c r="L161" s="11" t="n">
        <f aca="false">D161*(1+G161)</f>
        <v>6245.49326991115</v>
      </c>
      <c r="M161" s="14" t="n">
        <v>0</v>
      </c>
      <c r="N161" s="4" t="n">
        <v>1</v>
      </c>
      <c r="O161" s="3" t="str">
        <f aca="false">IF(AND(B161=4,M161=1),IF(N161&lt;0.8,"Subgrupo 7 dias; fronteira de cluster","Subgrupo 7 dias"),IF(N161&lt;0.8,"Fronteira de cluster",""))</f>
        <v/>
      </c>
    </row>
    <row r="162" customFormat="false" ht="15" hidden="false" customHeight="false" outlineLevel="0" collapsed="false">
      <c r="A162" s="14" t="n">
        <v>161</v>
      </c>
      <c r="B162" s="14" t="n">
        <v>4</v>
      </c>
      <c r="C162" s="14" t="s">
        <v>33</v>
      </c>
      <c r="D162" s="15" t="n">
        <v>7252.59820282413</v>
      </c>
      <c r="E162" s="16" t="n">
        <f aca="false">INDEX(Parâmetros!$C$33:$C$37,MATCH(B162,Parâmetros!$A$33:$A$37,0))</f>
        <v>8837.10512820513</v>
      </c>
      <c r="F162" s="7" t="n">
        <f aca="false">MAX(0,(E162-D162)/D162)</f>
        <v>0.218474384085416</v>
      </c>
      <c r="G162" s="7" t="n">
        <f aca="false">MIN(K162*Parâmetros!$B$19,Parâmetros!$B$8)</f>
        <v>0.0910489914746744</v>
      </c>
      <c r="H162" s="3" t="str">
        <f aca="false">IF(F162&gt;=Parâmetros!$B$6,"Ação","Acompanhamento")</f>
        <v>Ação</v>
      </c>
      <c r="I162" s="17" t="n">
        <v>301.841825902336</v>
      </c>
      <c r="J162" s="11" t="n">
        <f aca="false">D162*I162</f>
        <v>2189137.48407643</v>
      </c>
      <c r="K162" s="7" t="n">
        <f aca="false">Parâmetros!$B$4+Parâmetros!$B$5*F162</f>
        <v>0.0746185960213539</v>
      </c>
      <c r="L162" s="11" t="n">
        <f aca="false">D162*(1+G162)</f>
        <v>7912.93995476231</v>
      </c>
      <c r="M162" s="14" t="n">
        <v>0</v>
      </c>
      <c r="N162" s="4" t="n">
        <v>1</v>
      </c>
      <c r="O162" s="3" t="str">
        <f aca="false">IF(AND(B162=4,M162=1),IF(N162&lt;0.8,"Subgrupo 7 dias; fronteira de cluster","Subgrupo 7 dias"),IF(N162&lt;0.8,"Fronteira de cluster",""))</f>
        <v/>
      </c>
    </row>
    <row r="163" customFormat="false" ht="15" hidden="false" customHeight="false" outlineLevel="0" collapsed="false">
      <c r="A163" s="14" t="n">
        <v>162</v>
      </c>
      <c r="B163" s="14" t="n">
        <v>1</v>
      </c>
      <c r="C163" s="14" t="s">
        <v>30</v>
      </c>
      <c r="D163" s="15" t="n">
        <v>7768.13188220231</v>
      </c>
      <c r="E163" s="16" t="n">
        <f aca="false">INDEX(Parâmetros!$C$33:$C$37,MATCH(B163,Parâmetros!$A$33:$A$37,0))</f>
        <v>6959.92435130262</v>
      </c>
      <c r="F163" s="7" t="n">
        <f aca="false">MAX(0,(E163-D163)/D163)</f>
        <v>0</v>
      </c>
      <c r="G163" s="7" t="n">
        <f aca="false">MIN(K163*Parâmetros!$B$19,Parâmetros!$B$8)</f>
        <v>0.0244038339849275</v>
      </c>
      <c r="H163" s="3" t="str">
        <f aca="false">IF(F163&gt;=Parâmetros!$B$6,"Ação","Acompanhamento")</f>
        <v>Acompanhamento</v>
      </c>
      <c r="I163" s="17" t="n">
        <v>302.616772823779</v>
      </c>
      <c r="J163" s="11" t="n">
        <f aca="false">D163*I163</f>
        <v>2350767.00106157</v>
      </c>
      <c r="K163" s="7" t="n">
        <f aca="false">Parâmetros!$B$4+Parâmetros!$B$5*F163</f>
        <v>0.02</v>
      </c>
      <c r="L163" s="11" t="n">
        <f aca="false">D163*(1+G163)</f>
        <v>7957.70408302859</v>
      </c>
      <c r="M163" s="14" t="n">
        <v>0</v>
      </c>
      <c r="N163" s="4" t="n">
        <v>1</v>
      </c>
      <c r="O163" s="3" t="str">
        <f aca="false">IF(AND(B163=4,M163=1),IF(N163&lt;0.8,"Subgrupo 7 dias; fronteira de cluster","Subgrupo 7 dias"),IF(N163&lt;0.8,"Fronteira de cluster",""))</f>
        <v/>
      </c>
    </row>
    <row r="164" customFormat="false" ht="15" hidden="false" customHeight="false" outlineLevel="0" collapsed="false">
      <c r="A164" s="14" t="n">
        <v>163</v>
      </c>
      <c r="B164" s="14" t="n">
        <v>4</v>
      </c>
      <c r="C164" s="14" t="s">
        <v>33</v>
      </c>
      <c r="D164" s="15" t="n">
        <v>7298.70663265306</v>
      </c>
      <c r="E164" s="16" t="n">
        <f aca="false">INDEX(Parâmetros!$C$33:$C$37,MATCH(B164,Parâmetros!$A$33:$A$37,0))</f>
        <v>8837.10512820513</v>
      </c>
      <c r="F164" s="7" t="n">
        <f aca="false">MAX(0,(E164-D164)/D164)</f>
        <v>0.21077686403637</v>
      </c>
      <c r="G164" s="7" t="n">
        <f aca="false">MIN(K164*Parâmetros!$B$19,Parâmetros!$B$8)</f>
        <v>0.0887008789575175</v>
      </c>
      <c r="H164" s="3" t="str">
        <f aca="false">IF(F164&gt;=Parâmetros!$B$6,"Ação","Acompanhamento")</f>
        <v>Ação</v>
      </c>
      <c r="I164" s="17" t="n">
        <v>303.779193205945</v>
      </c>
      <c r="J164" s="11" t="n">
        <f aca="false">D164*I164</f>
        <v>2217195.21231423</v>
      </c>
      <c r="K164" s="7" t="n">
        <f aca="false">Parâmetros!$B$4+Parâmetros!$B$5*F164</f>
        <v>0.0726942160090925</v>
      </c>
      <c r="L164" s="11" t="n">
        <f aca="false">D164*(1+G164)</f>
        <v>7946.10832622245</v>
      </c>
      <c r="M164" s="14" t="n">
        <v>0</v>
      </c>
      <c r="N164" s="4" t="n">
        <v>1</v>
      </c>
      <c r="O164" s="3" t="str">
        <f aca="false">IF(AND(B164=4,M164=1),IF(N164&lt;0.8,"Subgrupo 7 dias; fronteira de cluster","Subgrupo 7 dias"),IF(N164&lt;0.8,"Fronteira de cluster",""))</f>
        <v/>
      </c>
    </row>
    <row r="165" customFormat="false" ht="15" hidden="false" customHeight="false" outlineLevel="0" collapsed="false">
      <c r="A165" s="14" t="n">
        <v>164</v>
      </c>
      <c r="B165" s="14" t="n">
        <v>3</v>
      </c>
      <c r="C165" s="14" t="s">
        <v>32</v>
      </c>
      <c r="D165" s="15" t="n">
        <v>6210.21829855538</v>
      </c>
      <c r="E165" s="16" t="n">
        <f aca="false">INDEX(Parâmetros!$C$33:$C$37,MATCH(B165,Parâmetros!$A$33:$A$37,0))</f>
        <v>5909.24487179487</v>
      </c>
      <c r="F165" s="7" t="n">
        <f aca="false">MAX(0,(E165-D165)/D165)</f>
        <v>0</v>
      </c>
      <c r="G165" s="7" t="n">
        <f aca="false">MIN(K165*Parâmetros!$B$19,Parâmetros!$B$8)</f>
        <v>0.0244038339849275</v>
      </c>
      <c r="H165" s="3" t="str">
        <f aca="false">IF(F165&gt;=Parâmetros!$B$6,"Ação","Acompanhamento")</f>
        <v>Acompanhamento</v>
      </c>
      <c r="I165" s="17" t="n">
        <v>299.993403693931</v>
      </c>
      <c r="J165" s="11" t="n">
        <f aca="false">D165*I165</f>
        <v>1863024.52506596</v>
      </c>
      <c r="K165" s="7" t="n">
        <f aca="false">Parâmetros!$B$4+Parâmetros!$B$5*F165</f>
        <v>0.02</v>
      </c>
      <c r="L165" s="11" t="n">
        <f aca="false">D165*(1+G165)</f>
        <v>6361.77143492348</v>
      </c>
      <c r="M165" s="14" t="n">
        <v>0</v>
      </c>
      <c r="N165" s="4" t="n">
        <v>0.75</v>
      </c>
      <c r="O165" s="3" t="str">
        <f aca="false">IF(AND(B165=4,M165=1),IF(N165&lt;0.8,"Subgrupo 7 dias; fronteira de cluster","Subgrupo 7 dias"),IF(N165&lt;0.8,"Fronteira de cluster",""))</f>
        <v>Fronteira de cluster</v>
      </c>
    </row>
    <row r="166" customFormat="false" ht="15" hidden="false" customHeight="false" outlineLevel="0" collapsed="false">
      <c r="A166" s="14" t="n">
        <v>165</v>
      </c>
      <c r="B166" s="14" t="n">
        <v>0</v>
      </c>
      <c r="C166" s="14" t="s">
        <v>29</v>
      </c>
      <c r="D166" s="15" t="n">
        <v>3996.8344051447</v>
      </c>
      <c r="E166" s="16" t="n">
        <f aca="false">INDEX(Parâmetros!$C$33:$C$37,MATCH(B166,Parâmetros!$A$33:$A$37,0))</f>
        <v>5476.37033462034</v>
      </c>
      <c r="F166" s="7" t="n">
        <f aca="false">MAX(0,(E166-D166)/D166)</f>
        <v>0.370176939923053</v>
      </c>
      <c r="G166" s="7" t="n">
        <f aca="false">MIN(K166*Parâmetros!$B$19,Parâmetros!$B$8)</f>
        <v>0.137325541321561</v>
      </c>
      <c r="H166" s="3" t="str">
        <f aca="false">IF(F166&gt;=Parâmetros!$B$6,"Ação","Acompanhamento")</f>
        <v>Ação</v>
      </c>
      <c r="I166" s="17" t="n">
        <v>299.511873350924</v>
      </c>
      <c r="J166" s="11" t="n">
        <f aca="false">D166*I166</f>
        <v>1197099.36015831</v>
      </c>
      <c r="K166" s="7" t="n">
        <f aca="false">Parâmetros!$B$4+Parâmetros!$B$5*F166</f>
        <v>0.112544234980763</v>
      </c>
      <c r="L166" s="11" t="n">
        <f aca="false">D166*(1+G166)</f>
        <v>4545.70185340383</v>
      </c>
      <c r="M166" s="14" t="n">
        <v>0</v>
      </c>
      <c r="N166" s="4" t="n">
        <v>0.95</v>
      </c>
      <c r="O166" s="3" t="str">
        <f aca="false">IF(AND(B166=4,M166=1),IF(N166&lt;0.8,"Subgrupo 7 dias; fronteira de cluster","Subgrupo 7 dias"),IF(N166&lt;0.8,"Fronteira de cluster",""))</f>
        <v/>
      </c>
    </row>
    <row r="167" customFormat="false" ht="15" hidden="false" customHeight="false" outlineLevel="0" collapsed="false">
      <c r="A167" s="14" t="n">
        <v>166</v>
      </c>
      <c r="B167" s="14" t="n">
        <v>2</v>
      </c>
      <c r="C167" s="14" t="s">
        <v>31</v>
      </c>
      <c r="D167" s="15" t="n">
        <v>5819.24646983312</v>
      </c>
      <c r="E167" s="16" t="n">
        <f aca="false">INDEX(Parâmetros!$C$33:$C$37,MATCH(B167,Parâmetros!$A$33:$A$37,0))</f>
        <v>6324.80102695764</v>
      </c>
      <c r="F167" s="7" t="n">
        <f aca="false">MAX(0,(E167-D167)/D167)</f>
        <v>0.0868762922734593</v>
      </c>
      <c r="G167" s="7" t="n">
        <f aca="false">MIN(K167*Parâmetros!$B$19,Parâmetros!$B$8)</f>
        <v>0.0509052666582716</v>
      </c>
      <c r="H167" s="3" t="str">
        <f aca="false">IF(F167&gt;=Parâmetros!$B$6,"Ação","Acompanhamento")</f>
        <v>Acompanhamento</v>
      </c>
      <c r="I167" s="17" t="n">
        <v>301.841825902336</v>
      </c>
      <c r="J167" s="11" t="n">
        <f aca="false">D167*I167</f>
        <v>1756491.97983015</v>
      </c>
      <c r="K167" s="7" t="n">
        <f aca="false">Parâmetros!$B$4+Parâmetros!$B$5*F167</f>
        <v>0.0417190730683648</v>
      </c>
      <c r="L167" s="11" t="n">
        <f aca="false">D167*(1+G167)</f>
        <v>6115.47676313018</v>
      </c>
      <c r="M167" s="14" t="n">
        <v>0</v>
      </c>
      <c r="N167" s="4" t="n">
        <v>0.949367088607595</v>
      </c>
      <c r="O167" s="3" t="str">
        <f aca="false">IF(AND(B167=4,M167=1),IF(N167&lt;0.8,"Subgrupo 7 dias; fronteira de cluster","Subgrupo 7 dias"),IF(N167&lt;0.8,"Fronteira de cluster",""))</f>
        <v/>
      </c>
    </row>
    <row r="168" customFormat="false" ht="15" hidden="false" customHeight="false" outlineLevel="0" collapsed="false">
      <c r="A168" s="14" t="n">
        <v>167</v>
      </c>
      <c r="B168" s="14" t="n">
        <v>3</v>
      </c>
      <c r="C168" s="14" t="s">
        <v>32</v>
      </c>
      <c r="D168" s="15" t="n">
        <v>9295.77948717949</v>
      </c>
      <c r="E168" s="16" t="n">
        <f aca="false">INDEX(Parâmetros!$C$33:$C$37,MATCH(B168,Parâmetros!$A$33:$A$37,0))</f>
        <v>5909.24487179487</v>
      </c>
      <c r="F168" s="7" t="n">
        <f aca="false">MAX(0,(E168-D168)/D168)</f>
        <v>0</v>
      </c>
      <c r="G168" s="7" t="n">
        <f aca="false">MIN(K168*Parâmetros!$B$19,Parâmetros!$B$8)</f>
        <v>0.0244038339849275</v>
      </c>
      <c r="H168" s="3" t="str">
        <f aca="false">IF(F168&gt;=Parâmetros!$B$6,"Ação","Acompanhamento")</f>
        <v>Acompanhamento</v>
      </c>
      <c r="I168" s="17" t="n">
        <v>302.229299363057</v>
      </c>
      <c r="J168" s="11" t="n">
        <f aca="false">D168*I168</f>
        <v>2809456.92144374</v>
      </c>
      <c r="K168" s="7" t="n">
        <f aca="false">Parâmetros!$B$4+Parâmetros!$B$5*F168</f>
        <v>0.02</v>
      </c>
      <c r="L168" s="11" t="n">
        <f aca="false">D168*(1+G168)</f>
        <v>9522.63214654511</v>
      </c>
      <c r="M168" s="14" t="n">
        <v>0</v>
      </c>
      <c r="N168" s="4" t="n">
        <v>0.658227848101266</v>
      </c>
      <c r="O168" s="3" t="str">
        <f aca="false">IF(AND(B168=4,M168=1),IF(N168&lt;0.8,"Subgrupo 7 dias; fronteira de cluster","Subgrupo 7 dias"),IF(N168&lt;0.8,"Fronteira de cluster",""))</f>
        <v>Fronteira de cluster</v>
      </c>
    </row>
    <row r="169" customFormat="false" ht="15" hidden="false" customHeight="false" outlineLevel="0" collapsed="false">
      <c r="A169" s="14" t="n">
        <v>168</v>
      </c>
      <c r="B169" s="14" t="n">
        <v>3</v>
      </c>
      <c r="C169" s="14" t="s">
        <v>32</v>
      </c>
      <c r="D169" s="15" t="n">
        <v>7517.14800514801</v>
      </c>
      <c r="E169" s="16" t="n">
        <f aca="false">INDEX(Parâmetros!$C$33:$C$37,MATCH(B169,Parâmetros!$A$33:$A$37,0))</f>
        <v>5909.24487179487</v>
      </c>
      <c r="F169" s="7" t="n">
        <f aca="false">MAX(0,(E169-D169)/D169)</f>
        <v>0</v>
      </c>
      <c r="G169" s="7" t="n">
        <f aca="false">MIN(K169*Parâmetros!$B$19,Parâmetros!$B$8)</f>
        <v>0.0244038339849275</v>
      </c>
      <c r="H169" s="3" t="str">
        <f aca="false">IF(F169&gt;=Parâmetros!$B$6,"Ação","Acompanhamento")</f>
        <v>Acompanhamento</v>
      </c>
      <c r="I169" s="17" t="n">
        <v>301.066878980892</v>
      </c>
      <c r="J169" s="11" t="n">
        <f aca="false">D169*I169</f>
        <v>2263164.28874735</v>
      </c>
      <c r="K169" s="7" t="n">
        <f aca="false">Parâmetros!$B$4+Parâmetros!$B$5*F169</f>
        <v>0.02</v>
      </c>
      <c r="L169" s="11" t="n">
        <f aca="false">D169*(1+G169)</f>
        <v>7700.59523710577</v>
      </c>
      <c r="M169" s="14" t="n">
        <v>0</v>
      </c>
      <c r="N169" s="4" t="n">
        <v>0.860759493670886</v>
      </c>
      <c r="O169" s="3" t="str">
        <f aca="false">IF(AND(B169=4,M169=1),IF(N169&lt;0.8,"Subgrupo 7 dias; fronteira de cluster","Subgrupo 7 dias"),IF(N169&lt;0.8,"Fronteira de cluster",""))</f>
        <v/>
      </c>
    </row>
    <row r="170" customFormat="false" ht="15" hidden="false" customHeight="false" outlineLevel="0" collapsed="false">
      <c r="A170" s="14" t="n">
        <v>169</v>
      </c>
      <c r="B170" s="14" t="n">
        <v>1</v>
      </c>
      <c r="C170" s="14" t="s">
        <v>30</v>
      </c>
      <c r="D170" s="15" t="n">
        <v>7218.92819843342</v>
      </c>
      <c r="E170" s="16" t="n">
        <f aca="false">INDEX(Parâmetros!$C$33:$C$37,MATCH(B170,Parâmetros!$A$33:$A$37,0))</f>
        <v>6959.92435130262</v>
      </c>
      <c r="F170" s="7" t="n">
        <f aca="false">MAX(0,(E170-D170)/D170)</f>
        <v>0</v>
      </c>
      <c r="G170" s="7" t="n">
        <f aca="false">MIN(K170*Parâmetros!$B$19,Parâmetros!$B$8)</f>
        <v>0.0244038339849275</v>
      </c>
      <c r="H170" s="3" t="str">
        <f aca="false">IF(F170&gt;=Parâmetros!$B$6,"Ação","Acompanhamento")</f>
        <v>Acompanhamento</v>
      </c>
      <c r="I170" s="17" t="n">
        <v>296.804670912951</v>
      </c>
      <c r="J170" s="11" t="n">
        <f aca="false">D170*I170</f>
        <v>2142611.60828026</v>
      </c>
      <c r="K170" s="7" t="n">
        <f aca="false">Parâmetros!$B$4+Parâmetros!$B$5*F170</f>
        <v>0.02</v>
      </c>
      <c r="L170" s="11" t="n">
        <f aca="false">D170*(1+G170)</f>
        <v>7395.0977237371</v>
      </c>
      <c r="M170" s="14" t="n">
        <v>0</v>
      </c>
      <c r="N170" s="4" t="n">
        <v>1</v>
      </c>
      <c r="O170" s="3" t="str">
        <f aca="false">IF(AND(B170=4,M170=1),IF(N170&lt;0.8,"Subgrupo 7 dias; fronteira de cluster","Subgrupo 7 dias"),IF(N170&lt;0.8,"Fronteira de cluster",""))</f>
        <v/>
      </c>
    </row>
    <row r="171" customFormat="false" ht="15" hidden="false" customHeight="false" outlineLevel="0" collapsed="false">
      <c r="A171" s="14" t="n">
        <v>170</v>
      </c>
      <c r="B171" s="14" t="n">
        <v>0</v>
      </c>
      <c r="C171" s="14" t="s">
        <v>29</v>
      </c>
      <c r="D171" s="15" t="n">
        <v>5009.44159178434</v>
      </c>
      <c r="E171" s="16" t="n">
        <f aca="false">INDEX(Parâmetros!$C$33:$C$37,MATCH(B171,Parâmetros!$A$33:$A$37,0))</f>
        <v>5476.37033462034</v>
      </c>
      <c r="F171" s="7" t="n">
        <f aca="false">MAX(0,(E171-D171)/D171)</f>
        <v>0.0932097389061838</v>
      </c>
      <c r="G171" s="7" t="n">
        <f aca="false">MIN(K171*Parâmetros!$B$19,Parâmetros!$B$8)</f>
        <v>0.0528372714104892</v>
      </c>
      <c r="H171" s="3" t="str">
        <f aca="false">IF(F171&gt;=Parâmetros!$B$6,"Ação","Acompanhamento")</f>
        <v>Acompanhamento</v>
      </c>
      <c r="I171" s="17" t="n">
        <v>301.841825902336</v>
      </c>
      <c r="J171" s="11" t="n">
        <f aca="false">D171*I171</f>
        <v>1512058.99681529</v>
      </c>
      <c r="K171" s="7" t="n">
        <f aca="false">Parâmetros!$B$4+Parâmetros!$B$5*F171</f>
        <v>0.0433024347265459</v>
      </c>
      <c r="L171" s="11" t="n">
        <f aca="false">D171*(1+G171)</f>
        <v>5274.12681678444</v>
      </c>
      <c r="M171" s="14" t="n">
        <v>0</v>
      </c>
      <c r="N171" s="4" t="n">
        <v>1</v>
      </c>
      <c r="O171" s="3" t="str">
        <f aca="false">IF(AND(B171=4,M171=1),IF(N171&lt;0.8,"Subgrupo 7 dias; fronteira de cluster","Subgrupo 7 dias"),IF(N171&lt;0.8,"Fronteira de cluster",""))</f>
        <v/>
      </c>
    </row>
    <row r="172" customFormat="false" ht="15" hidden="false" customHeight="false" outlineLevel="0" collapsed="false">
      <c r="A172" s="14" t="n">
        <v>171</v>
      </c>
      <c r="B172" s="14" t="n">
        <v>3</v>
      </c>
      <c r="C172" s="14" t="s">
        <v>32</v>
      </c>
      <c r="D172" s="15" t="n">
        <v>8429.14762516046</v>
      </c>
      <c r="E172" s="16" t="n">
        <f aca="false">INDEX(Parâmetros!$C$33:$C$37,MATCH(B172,Parâmetros!$A$33:$A$37,0))</f>
        <v>5909.24487179487</v>
      </c>
      <c r="F172" s="7" t="n">
        <f aca="false">MAX(0,(E172-D172)/D172)</f>
        <v>0</v>
      </c>
      <c r="G172" s="7" t="n">
        <f aca="false">MIN(K172*Parâmetros!$B$19,Parâmetros!$B$8)</f>
        <v>0.0244038339849275</v>
      </c>
      <c r="H172" s="3" t="str">
        <f aca="false">IF(F172&gt;=Parâmetros!$B$6,"Ação","Acompanhamento")</f>
        <v>Acompanhamento</v>
      </c>
      <c r="I172" s="17" t="n">
        <v>301.841825902336</v>
      </c>
      <c r="J172" s="11" t="n">
        <f aca="false">D172*I172</f>
        <v>2544269.30997877</v>
      </c>
      <c r="K172" s="7" t="n">
        <f aca="false">Parâmetros!$B$4+Parâmetros!$B$5*F172</f>
        <v>0.02</v>
      </c>
      <c r="L172" s="11" t="n">
        <f aca="false">D172*(1+G172)</f>
        <v>8634.85114443932</v>
      </c>
      <c r="M172" s="14" t="n">
        <v>0</v>
      </c>
      <c r="N172" s="4" t="n">
        <v>0.619047619047619</v>
      </c>
      <c r="O172" s="3" t="str">
        <f aca="false">IF(AND(B172=4,M172=1),IF(N172&lt;0.8,"Subgrupo 7 dias; fronteira de cluster","Subgrupo 7 dias"),IF(N172&lt;0.8,"Fronteira de cluster",""))</f>
        <v>Fronteira de cluster</v>
      </c>
    </row>
    <row r="173" customFormat="false" ht="15" hidden="false" customHeight="false" outlineLevel="0" collapsed="false">
      <c r="A173" s="14" t="n">
        <v>172</v>
      </c>
      <c r="B173" s="14" t="n">
        <v>4</v>
      </c>
      <c r="C173" s="14" t="s">
        <v>33</v>
      </c>
      <c r="D173" s="15" t="n">
        <v>6981.67202572347</v>
      </c>
      <c r="E173" s="16" t="n">
        <f aca="false">INDEX(Parâmetros!$C$33:$C$37,MATCH(B173,Parâmetros!$A$33:$A$37,0))</f>
        <v>8837.10512820513</v>
      </c>
      <c r="F173" s="7" t="n">
        <f aca="false">MAX(0,(E173-D173)/D173)</f>
        <v>0.265757700396903</v>
      </c>
      <c r="G173" s="7" t="n">
        <f aca="false">MIN(K173*Parâmetros!$B$19,Parâmetros!$B$8)</f>
        <v>0.105472668993704</v>
      </c>
      <c r="H173" s="3" t="str">
        <f aca="false">IF(F173&gt;=Parâmetros!$B$6,"Ação","Acompanhamento")</f>
        <v>Ação</v>
      </c>
      <c r="I173" s="17" t="n">
        <v>299.511873350924</v>
      </c>
      <c r="J173" s="11" t="n">
        <f aca="false">D173*I173</f>
        <v>2091093.66754617</v>
      </c>
      <c r="K173" s="7" t="n">
        <f aca="false">Parâmetros!$B$4+Parâmetros!$B$5*F173</f>
        <v>0.0864394250992257</v>
      </c>
      <c r="L173" s="11" t="n">
        <f aca="false">D173*(1+G173)</f>
        <v>7718.04760831521</v>
      </c>
      <c r="M173" s="14" t="n">
        <v>0</v>
      </c>
      <c r="N173" s="4" t="n">
        <v>1</v>
      </c>
      <c r="O173" s="3" t="str">
        <f aca="false">IF(AND(B173=4,M173=1),IF(N173&lt;0.8,"Subgrupo 7 dias; fronteira de cluster","Subgrupo 7 dias"),IF(N173&lt;0.8,"Fronteira de cluster",""))</f>
        <v/>
      </c>
    </row>
    <row r="174" customFormat="false" ht="15" hidden="false" customHeight="false" outlineLevel="0" collapsed="false">
      <c r="A174" s="14" t="n">
        <v>173</v>
      </c>
      <c r="B174" s="14" t="n">
        <v>4</v>
      </c>
      <c r="C174" s="14" t="s">
        <v>33</v>
      </c>
      <c r="D174" s="15" t="n">
        <v>8232.78316326531</v>
      </c>
      <c r="E174" s="16" t="n">
        <f aca="false">INDEX(Parâmetros!$C$33:$C$37,MATCH(B174,Parâmetros!$A$33:$A$37,0))</f>
        <v>8837.10512820513</v>
      </c>
      <c r="F174" s="7" t="n">
        <f aca="false">MAX(0,(E174-D174)/D174)</f>
        <v>0.0734043339846854</v>
      </c>
      <c r="G174" s="7" t="n">
        <f aca="false">MIN(K174*Parâmetros!$B$19,Parâmetros!$B$8)</f>
        <v>0.0467956737391328</v>
      </c>
      <c r="H174" s="3" t="str">
        <f aca="false">IF(F174&gt;=Parâmetros!$B$6,"Ação","Acompanhamento")</f>
        <v>Acompanhamento</v>
      </c>
      <c r="I174" s="17" t="n">
        <v>303.779193205945</v>
      </c>
      <c r="J174" s="11" t="n">
        <f aca="false">D174*I174</f>
        <v>2500948.22717622</v>
      </c>
      <c r="K174" s="7" t="n">
        <f aca="false">Parâmetros!$B$4+Parâmetros!$B$5*F174</f>
        <v>0.0383510834961714</v>
      </c>
      <c r="L174" s="11" t="n">
        <f aca="false">D174*(1+G174)</f>
        <v>8618.0417981385</v>
      </c>
      <c r="M174" s="14" t="n">
        <v>0</v>
      </c>
      <c r="N174" s="4" t="n">
        <v>1</v>
      </c>
      <c r="O174" s="3" t="str">
        <f aca="false">IF(AND(B174=4,M174=1),IF(N174&lt;0.8,"Subgrupo 7 dias; fronteira de cluster","Subgrupo 7 dias"),IF(N174&lt;0.8,"Fronteira de cluster",""))</f>
        <v/>
      </c>
    </row>
    <row r="175" customFormat="false" ht="15" hidden="false" customHeight="false" outlineLevel="0" collapsed="false">
      <c r="A175" s="14" t="n">
        <v>174</v>
      </c>
      <c r="B175" s="14" t="n">
        <v>1</v>
      </c>
      <c r="C175" s="14" t="s">
        <v>30</v>
      </c>
      <c r="D175" s="15" t="n">
        <v>5936.54019292605</v>
      </c>
      <c r="E175" s="16" t="n">
        <f aca="false">INDEX(Parâmetros!$C$33:$C$37,MATCH(B175,Parâmetros!$A$33:$A$37,0))</f>
        <v>6959.92435130262</v>
      </c>
      <c r="F175" s="7" t="n">
        <f aca="false">MAX(0,(E175-D175)/D175)</f>
        <v>0.172387303904054</v>
      </c>
      <c r="G175" s="7" t="n">
        <f aca="false">MIN(K175*Parâmetros!$B$19,Parâmetros!$B$8)</f>
        <v>0.0769902233047247</v>
      </c>
      <c r="H175" s="3" t="str">
        <f aca="false">IF(F175&gt;=Parâmetros!$B$6,"Ação","Acompanhamento")</f>
        <v>Ação</v>
      </c>
      <c r="I175" s="17" t="n">
        <v>299.511873350924</v>
      </c>
      <c r="J175" s="11" t="n">
        <f aca="false">D175*I175</f>
        <v>1778064.27440633</v>
      </c>
      <c r="K175" s="7" t="n">
        <f aca="false">Parâmetros!$B$4+Parâmetros!$B$5*F175</f>
        <v>0.0630968259760136</v>
      </c>
      <c r="L175" s="11" t="n">
        <f aca="false">D175*(1+G175)</f>
        <v>6393.59574803689</v>
      </c>
      <c r="M175" s="14" t="n">
        <v>0</v>
      </c>
      <c r="N175" s="4" t="n">
        <v>1</v>
      </c>
      <c r="O175" s="3" t="str">
        <f aca="false">IF(AND(B175=4,M175=1),IF(N175&lt;0.8,"Subgrupo 7 dias; fronteira de cluster","Subgrupo 7 dias"),IF(N175&lt;0.8,"Fronteira de cluster",""))</f>
        <v/>
      </c>
    </row>
    <row r="176" customFormat="false" ht="15" hidden="false" customHeight="false" outlineLevel="0" collapsed="false">
      <c r="A176" s="14" t="n">
        <v>175</v>
      </c>
      <c r="B176" s="14" t="n">
        <v>1</v>
      </c>
      <c r="C176" s="14" t="s">
        <v>30</v>
      </c>
      <c r="D176" s="15" t="n">
        <v>5784.54846938776</v>
      </c>
      <c r="E176" s="16" t="n">
        <f aca="false">INDEX(Parâmetros!$C$33:$C$37,MATCH(B176,Parâmetros!$A$33:$A$37,0))</f>
        <v>6959.92435130262</v>
      </c>
      <c r="F176" s="7" t="n">
        <f aca="false">MAX(0,(E176-D176)/D176)</f>
        <v>0.203192330072959</v>
      </c>
      <c r="G176" s="7" t="n">
        <f aca="false">MIN(K176*Parâmetros!$B$19,Parâmetros!$B$8)</f>
        <v>0.0863872326113158</v>
      </c>
      <c r="H176" s="3" t="str">
        <f aca="false">IF(F176&gt;=Parâmetros!$B$6,"Ação","Acompanhamento")</f>
        <v>Ação</v>
      </c>
      <c r="I176" s="17" t="n">
        <v>303.779193205945</v>
      </c>
      <c r="J176" s="11" t="n">
        <f aca="false">D176*I176</f>
        <v>1757225.4670913</v>
      </c>
      <c r="K176" s="7" t="n">
        <f aca="false">Parâmetros!$B$4+Parâmetros!$B$5*F176</f>
        <v>0.0707980825182397</v>
      </c>
      <c r="L176" s="11" t="n">
        <f aca="false">D176*(1+G176)</f>
        <v>6284.25960356419</v>
      </c>
      <c r="M176" s="14" t="n">
        <v>0</v>
      </c>
      <c r="N176" s="4" t="n">
        <v>0.37037037037037</v>
      </c>
      <c r="O176" s="3" t="str">
        <f aca="false">IF(AND(B176=4,M176=1),IF(N176&lt;0.8,"Subgrupo 7 dias; fronteira de cluster","Subgrupo 7 dias"),IF(N176&lt;0.8,"Fronteira de cluster",""))</f>
        <v>Fronteira de cluster</v>
      </c>
    </row>
    <row r="177" customFormat="false" ht="15" hidden="false" customHeight="false" outlineLevel="0" collapsed="false">
      <c r="A177" s="14" t="n">
        <v>176</v>
      </c>
      <c r="B177" s="14" t="n">
        <v>3</v>
      </c>
      <c r="C177" s="14" t="s">
        <v>32</v>
      </c>
      <c r="D177" s="15" t="n">
        <v>5278.17715019255</v>
      </c>
      <c r="E177" s="16" t="n">
        <f aca="false">INDEX(Parâmetros!$C$33:$C$37,MATCH(B177,Parâmetros!$A$33:$A$37,0))</f>
        <v>5909.24487179487</v>
      </c>
      <c r="F177" s="7" t="n">
        <f aca="false">MAX(0,(E177-D177)/D177)</f>
        <v>0.119561678898802</v>
      </c>
      <c r="G177" s="7" t="n">
        <f aca="false">MIN(K177*Parâmetros!$B$19,Parâmetros!$B$8)</f>
        <v>0.0608758760199971</v>
      </c>
      <c r="H177" s="3" t="str">
        <f aca="false">IF(F177&gt;=Parâmetros!$B$6,"Ação","Acompanhamento")</f>
        <v>Ação</v>
      </c>
      <c r="I177" s="17" t="n">
        <v>301.841825902336</v>
      </c>
      <c r="J177" s="11" t="n">
        <f aca="false">D177*I177</f>
        <v>1593174.62845011</v>
      </c>
      <c r="K177" s="7" t="n">
        <f aca="false">Parâmetros!$B$4+Parâmetros!$B$5*F177</f>
        <v>0.0498904197247006</v>
      </c>
      <c r="L177" s="11" t="n">
        <f aca="false">D177*(1+G177)</f>
        <v>5599.49080799926</v>
      </c>
      <c r="M177" s="14" t="n">
        <v>0</v>
      </c>
      <c r="N177" s="4" t="n">
        <v>0.985294117647059</v>
      </c>
      <c r="O177" s="3" t="str">
        <f aca="false">IF(AND(B177=4,M177=1),IF(N177&lt;0.8,"Subgrupo 7 dias; fronteira de cluster","Subgrupo 7 dias"),IF(N177&lt;0.8,"Fronteira de cluster",""))</f>
        <v/>
      </c>
    </row>
    <row r="178" customFormat="false" ht="15" hidden="false" customHeight="false" outlineLevel="0" collapsed="false">
      <c r="A178" s="14" t="n">
        <v>177</v>
      </c>
      <c r="B178" s="14" t="n">
        <v>3</v>
      </c>
      <c r="C178" s="14" t="s">
        <v>32</v>
      </c>
      <c r="D178" s="15" t="n">
        <v>3994.09615384615</v>
      </c>
      <c r="E178" s="16" t="n">
        <f aca="false">INDEX(Parâmetros!$C$33:$C$37,MATCH(B178,Parâmetros!$A$33:$A$37,0))</f>
        <v>5909.24487179487</v>
      </c>
      <c r="F178" s="7" t="n">
        <f aca="false">MAX(0,(E178-D178)/D178)</f>
        <v>0.479494895510842</v>
      </c>
      <c r="G178" s="7" t="n">
        <f aca="false">MIN(K178*Parâmetros!$B$19,Parâmetros!$B$8)</f>
        <v>0.170672756818262</v>
      </c>
      <c r="H178" s="3" t="str">
        <f aca="false">IF(F178&gt;=Parâmetros!$B$6,"Ação","Acompanhamento")</f>
        <v>Ação</v>
      </c>
      <c r="I178" s="17" t="n">
        <v>302.229299363057</v>
      </c>
      <c r="J178" s="11" t="n">
        <f aca="false">D178*I178</f>
        <v>1207132.88216561</v>
      </c>
      <c r="K178" s="7" t="n">
        <f aca="false">Parâmetros!$B$4+Parâmetros!$B$5*F178</f>
        <v>0.139873723877711</v>
      </c>
      <c r="L178" s="11" t="n">
        <f aca="false">D178*(1+G178)</f>
        <v>4675.77955542029</v>
      </c>
      <c r="M178" s="14" t="n">
        <v>0</v>
      </c>
      <c r="N178" s="4" t="n">
        <v>0.790123456790123</v>
      </c>
      <c r="O178" s="3" t="str">
        <f aca="false">IF(AND(B178=4,M178=1),IF(N178&lt;0.8,"Subgrupo 7 dias; fronteira de cluster","Subgrupo 7 dias"),IF(N178&lt;0.8,"Fronteira de cluster",""))</f>
        <v>Fronteira de cluster</v>
      </c>
    </row>
    <row r="179" customFormat="false" ht="15" hidden="false" customHeight="false" outlineLevel="0" collapsed="false">
      <c r="A179" s="14" t="n">
        <v>178</v>
      </c>
      <c r="B179" s="14" t="n">
        <v>1</v>
      </c>
      <c r="C179" s="14" t="s">
        <v>30</v>
      </c>
      <c r="D179" s="15" t="n">
        <v>10089.9256410256</v>
      </c>
      <c r="E179" s="16" t="n">
        <f aca="false">INDEX(Parâmetros!$C$33:$C$37,MATCH(B179,Parâmetros!$A$33:$A$37,0))</f>
        <v>6959.92435130262</v>
      </c>
      <c r="F179" s="7" t="n">
        <f aca="false">MAX(0,(E179-D179)/D179)</f>
        <v>0</v>
      </c>
      <c r="G179" s="7" t="n">
        <f aca="false">MIN(K179*Parâmetros!$B$19,Parâmetros!$B$8)</f>
        <v>0.0244038339849275</v>
      </c>
      <c r="H179" s="3" t="str">
        <f aca="false">IF(F179&gt;=Parâmetros!$B$6,"Ação","Acompanhamento")</f>
        <v>Acompanhamento</v>
      </c>
      <c r="I179" s="17" t="n">
        <v>302.229299363057</v>
      </c>
      <c r="J179" s="11" t="n">
        <f aca="false">D179*I179</f>
        <v>3049471.15711253</v>
      </c>
      <c r="K179" s="7" t="n">
        <f aca="false">Parâmetros!$B$4+Parâmetros!$B$5*F179</f>
        <v>0.02</v>
      </c>
      <c r="L179" s="11" t="n">
        <f aca="false">D179*(1+G179)</f>
        <v>10336.1585112895</v>
      </c>
      <c r="M179" s="14" t="n">
        <v>0</v>
      </c>
      <c r="N179" s="4" t="n">
        <v>1</v>
      </c>
      <c r="O179" s="3" t="str">
        <f aca="false">IF(AND(B179=4,M179=1),IF(N179&lt;0.8,"Subgrupo 7 dias; fronteira de cluster","Subgrupo 7 dias"),IF(N179&lt;0.8,"Fronteira de cluster",""))</f>
        <v/>
      </c>
    </row>
    <row r="180" customFormat="false" ht="15" hidden="false" customHeight="false" outlineLevel="0" collapsed="false">
      <c r="A180" s="14" t="n">
        <v>179</v>
      </c>
      <c r="B180" s="14" t="n">
        <v>0</v>
      </c>
      <c r="C180" s="14" t="s">
        <v>29</v>
      </c>
      <c r="D180" s="15" t="n">
        <v>7295.27471116817</v>
      </c>
      <c r="E180" s="16" t="n">
        <f aca="false">INDEX(Parâmetros!$C$33:$C$37,MATCH(B180,Parâmetros!$A$33:$A$37,0))</f>
        <v>5476.37033462034</v>
      </c>
      <c r="F180" s="7" t="n">
        <f aca="false">MAX(0,(E180-D180)/D180)</f>
        <v>0</v>
      </c>
      <c r="G180" s="7" t="n">
        <f aca="false">MIN(K180*Parâmetros!$B$19,Parâmetros!$B$8)</f>
        <v>0.0244038339849275</v>
      </c>
      <c r="H180" s="3" t="str">
        <f aca="false">IF(F180&gt;=Parâmetros!$B$6,"Ação","Acompanhamento")</f>
        <v>Acompanhamento</v>
      </c>
      <c r="I180" s="17" t="n">
        <v>301.841825902336</v>
      </c>
      <c r="J180" s="11" t="n">
        <f aca="false">D180*I180</f>
        <v>2202019.03927813</v>
      </c>
      <c r="K180" s="7" t="n">
        <f aca="false">Parâmetros!$B$4+Parâmetros!$B$5*F180</f>
        <v>0.02</v>
      </c>
      <c r="L180" s="11" t="n">
        <f aca="false">D180*(1+G180)</f>
        <v>7473.30738409395</v>
      </c>
      <c r="M180" s="14" t="n">
        <v>0</v>
      </c>
      <c r="N180" s="4" t="n">
        <v>0.964285714285714</v>
      </c>
      <c r="O180" s="3" t="str">
        <f aca="false">IF(AND(B180=4,M180=1),IF(N180&lt;0.8,"Subgrupo 7 dias; fronteira de cluster","Subgrupo 7 dias"),IF(N180&lt;0.8,"Fronteira de cluster",""))</f>
        <v/>
      </c>
    </row>
    <row r="181" customFormat="false" ht="15" hidden="false" customHeight="false" outlineLevel="0" collapsed="false">
      <c r="A181" s="14" t="n">
        <v>180</v>
      </c>
      <c r="B181" s="14" t="n">
        <v>4</v>
      </c>
      <c r="C181" s="14" t="s">
        <v>33</v>
      </c>
      <c r="D181" s="15" t="n">
        <v>7220.0612244898</v>
      </c>
      <c r="E181" s="16" t="n">
        <f aca="false">INDEX(Parâmetros!$C$33:$C$37,MATCH(B181,Parâmetros!$A$33:$A$37,0))</f>
        <v>8837.10512820513</v>
      </c>
      <c r="F181" s="7" t="n">
        <f aca="false">MAX(0,(E181-D181)/D181)</f>
        <v>0.223965400491407</v>
      </c>
      <c r="G181" s="7" t="n">
        <f aca="false">MIN(K181*Parâmetros!$B$19,Parâmetros!$B$8)</f>
        <v>0.0927240146344284</v>
      </c>
      <c r="H181" s="3" t="str">
        <f aca="false">IF(F181&gt;=Parâmetros!$B$6,"Ação","Acompanhamento")</f>
        <v>Ação</v>
      </c>
      <c r="I181" s="17" t="n">
        <v>303.779193205945</v>
      </c>
      <c r="J181" s="11" t="n">
        <f aca="false">D181*I181</f>
        <v>2193304.37367304</v>
      </c>
      <c r="K181" s="7" t="n">
        <f aca="false">Parâmetros!$B$4+Parâmetros!$B$5*F181</f>
        <v>0.0759913501228517</v>
      </c>
      <c r="L181" s="11" t="n">
        <f aca="false">D181*(1+G181)</f>
        <v>7889.53428713086</v>
      </c>
      <c r="M181" s="14" t="n">
        <v>0</v>
      </c>
      <c r="N181" s="4" t="n">
        <v>0.802469135802469</v>
      </c>
      <c r="O181" s="3" t="str">
        <f aca="false">IF(AND(B181=4,M181=1),IF(N181&lt;0.8,"Subgrupo 7 dias; fronteira de cluster","Subgrupo 7 dias"),IF(N181&lt;0.8,"Fronteira de cluster",""))</f>
        <v/>
      </c>
    </row>
    <row r="182" customFormat="false" ht="15" hidden="false" customHeight="false" outlineLevel="0" collapsed="false">
      <c r="A182" s="14" t="n">
        <v>181</v>
      </c>
      <c r="B182" s="14" t="n">
        <v>3</v>
      </c>
      <c r="C182" s="14" t="s">
        <v>32</v>
      </c>
      <c r="D182" s="15" t="n">
        <v>6382.69823434992</v>
      </c>
      <c r="E182" s="16" t="n">
        <f aca="false">INDEX(Parâmetros!$C$33:$C$37,MATCH(B182,Parâmetros!$A$33:$A$37,0))</f>
        <v>5909.24487179487</v>
      </c>
      <c r="F182" s="7" t="n">
        <f aca="false">MAX(0,(E182-D182)/D182)</f>
        <v>0</v>
      </c>
      <c r="G182" s="7" t="n">
        <f aca="false">MIN(K182*Parâmetros!$B$19,Parâmetros!$B$8)</f>
        <v>0.0244038339849275</v>
      </c>
      <c r="H182" s="3" t="str">
        <f aca="false">IF(F182&gt;=Parâmetros!$B$6,"Ação","Acompanhamento")</f>
        <v>Acompanhamento</v>
      </c>
      <c r="I182" s="17" t="n">
        <v>299.993403693931</v>
      </c>
      <c r="J182" s="11" t="n">
        <f aca="false">D182*I182</f>
        <v>1914767.36807388</v>
      </c>
      <c r="K182" s="7" t="n">
        <f aca="false">Parâmetros!$B$4+Parâmetros!$B$5*F182</f>
        <v>0.02</v>
      </c>
      <c r="L182" s="11" t="n">
        <f aca="false">D182*(1+G182)</f>
        <v>6538.46054243689</v>
      </c>
      <c r="M182" s="14" t="n">
        <v>0</v>
      </c>
      <c r="N182" s="4" t="n">
        <v>1</v>
      </c>
      <c r="O182" s="3" t="str">
        <f aca="false">IF(AND(B182=4,M182=1),IF(N182&lt;0.8,"Subgrupo 7 dias; fronteira de cluster","Subgrupo 7 dias"),IF(N182&lt;0.8,"Fronteira de cluster",""))</f>
        <v/>
      </c>
    </row>
    <row r="183" customFormat="false" ht="15" hidden="false" customHeight="false" outlineLevel="0" collapsed="false">
      <c r="A183" s="14" t="n">
        <v>182</v>
      </c>
      <c r="B183" s="14" t="n">
        <v>1</v>
      </c>
      <c r="C183" s="14" t="s">
        <v>30</v>
      </c>
      <c r="D183" s="15" t="n">
        <v>5304.6542893726</v>
      </c>
      <c r="E183" s="16" t="n">
        <f aca="false">INDEX(Parâmetros!$C$33:$C$37,MATCH(B183,Parâmetros!$A$33:$A$37,0))</f>
        <v>6959.92435130262</v>
      </c>
      <c r="F183" s="7" t="n">
        <f aca="false">MAX(0,(E183-D183)/D183)</f>
        <v>0.312041081592482</v>
      </c>
      <c r="G183" s="7" t="n">
        <f aca="false">MIN(K183*Parâmetros!$B$19,Parâmetros!$B$8)</f>
        <v>0.119591318380679</v>
      </c>
      <c r="H183" s="3" t="str">
        <f aca="false">IF(F183&gt;=Parâmetros!$B$6,"Ação","Acompanhamento")</f>
        <v>Ação</v>
      </c>
      <c r="I183" s="17" t="n">
        <v>302.616772823779</v>
      </c>
      <c r="J183" s="11" t="n">
        <f aca="false">D183*I183</f>
        <v>1605277.36199575</v>
      </c>
      <c r="K183" s="7" t="n">
        <f aca="false">Parâmetros!$B$4+Parâmetros!$B$5*F183</f>
        <v>0.0980102703981204</v>
      </c>
      <c r="L183" s="11" t="n">
        <f aca="false">D183*(1+G183)</f>
        <v>5939.04488939239</v>
      </c>
      <c r="M183" s="14" t="n">
        <v>0</v>
      </c>
      <c r="N183" s="4" t="n">
        <v>1</v>
      </c>
      <c r="O183" s="3" t="str">
        <f aca="false">IF(AND(B183=4,M183=1),IF(N183&lt;0.8,"Subgrupo 7 dias; fronteira de cluster","Subgrupo 7 dias"),IF(N183&lt;0.8,"Fronteira de cluster",""))</f>
        <v/>
      </c>
    </row>
    <row r="184" customFormat="false" ht="15" hidden="false" customHeight="false" outlineLevel="0" collapsed="false">
      <c r="A184" s="14" t="n">
        <v>183</v>
      </c>
      <c r="B184" s="14" t="n">
        <v>2</v>
      </c>
      <c r="C184" s="14" t="s">
        <v>31</v>
      </c>
      <c r="D184" s="15" t="n">
        <v>4821.33551554828</v>
      </c>
      <c r="E184" s="16" t="n">
        <f aca="false">INDEX(Parâmetros!$C$33:$C$37,MATCH(B184,Parâmetros!$A$33:$A$37,0))</f>
        <v>6324.80102695764</v>
      </c>
      <c r="F184" s="7" t="n">
        <f aca="false">MAX(0,(E184-D184)/D184)</f>
        <v>0.311835902430114</v>
      </c>
      <c r="G184" s="7" t="n">
        <f aca="false">MIN(K184*Parâmetros!$B$19,Parâmetros!$B$8)</f>
        <v>0.119528728902984</v>
      </c>
      <c r="H184" s="3" t="str">
        <f aca="false">IF(F184&gt;=Parâmetros!$B$6,"Ação","Acompanhamento")</f>
        <v>Ação</v>
      </c>
      <c r="I184" s="17" t="n">
        <v>294.215039577836</v>
      </c>
      <c r="J184" s="11" t="n">
        <f aca="false">D184*I184</f>
        <v>1418509.41952507</v>
      </c>
      <c r="K184" s="7" t="n">
        <f aca="false">Parâmetros!$B$4+Parâmetros!$B$5*F184</f>
        <v>0.0979589756075285</v>
      </c>
      <c r="L184" s="11" t="n">
        <f aca="false">D184*(1+G184)</f>
        <v>5397.62362133658</v>
      </c>
      <c r="M184" s="14" t="n">
        <v>0</v>
      </c>
      <c r="N184" s="4" t="n">
        <v>0.91566265060241</v>
      </c>
      <c r="O184" s="3" t="str">
        <f aca="false">IF(AND(B184=4,M184=1),IF(N184&lt;0.8,"Subgrupo 7 dias; fronteira de cluster","Subgrupo 7 dias"),IF(N184&lt;0.8,"Fronteira de cluster",""))</f>
        <v/>
      </c>
    </row>
    <row r="185" customFormat="false" ht="15" hidden="false" customHeight="false" outlineLevel="0" collapsed="false">
      <c r="A185" s="14" t="n">
        <v>184</v>
      </c>
      <c r="B185" s="14" t="n">
        <v>1</v>
      </c>
      <c r="C185" s="14" t="s">
        <v>30</v>
      </c>
      <c r="D185" s="15" t="n">
        <v>6594.2972972973</v>
      </c>
      <c r="E185" s="16" t="n">
        <f aca="false">INDEX(Parâmetros!$C$33:$C$37,MATCH(B185,Parâmetros!$A$33:$A$37,0))</f>
        <v>6959.92435130262</v>
      </c>
      <c r="F185" s="7" t="n">
        <f aca="false">MAX(0,(E185-D185)/D185)</f>
        <v>0.0554459463262563</v>
      </c>
      <c r="G185" s="7" t="n">
        <f aca="false">MIN(K185*Parâmetros!$B$19,Parâmetros!$B$8)</f>
        <v>0.0413175048509669</v>
      </c>
      <c r="H185" s="3" t="str">
        <f aca="false">IF(F185&gt;=Parâmetros!$B$6,"Ação","Acompanhamento")</f>
        <v>Acompanhamento</v>
      </c>
      <c r="I185" s="17" t="n">
        <v>301.066878980892</v>
      </c>
      <c r="J185" s="11" t="n">
        <f aca="false">D185*I185</f>
        <v>1985324.50636943</v>
      </c>
      <c r="K185" s="7" t="n">
        <f aca="false">Parâmetros!$B$4+Parâmetros!$B$5*F185</f>
        <v>0.0338614865815641</v>
      </c>
      <c r="L185" s="11" t="n">
        <f aca="false">D185*(1+G185)</f>
        <v>6866.7572078671</v>
      </c>
      <c r="M185" s="14" t="n">
        <v>0</v>
      </c>
      <c r="N185" s="4" t="n">
        <v>1</v>
      </c>
      <c r="O185" s="3" t="str">
        <f aca="false">IF(AND(B185=4,M185=1),IF(N185&lt;0.8,"Subgrupo 7 dias; fronteira de cluster","Subgrupo 7 dias"),IF(N185&lt;0.8,"Fronteira de cluster",""))</f>
        <v/>
      </c>
    </row>
    <row r="186" customFormat="false" ht="15" hidden="false" customHeight="false" outlineLevel="0" collapsed="false">
      <c r="A186" s="14" t="n">
        <v>185</v>
      </c>
      <c r="B186" s="14" t="n">
        <v>1</v>
      </c>
      <c r="C186" s="14" t="s">
        <v>30</v>
      </c>
      <c r="D186" s="15" t="n">
        <v>7170.61734693878</v>
      </c>
      <c r="E186" s="16" t="n">
        <f aca="false">INDEX(Parâmetros!$C$33:$C$37,MATCH(B186,Parâmetros!$A$33:$A$37,0))</f>
        <v>6959.92435130262</v>
      </c>
      <c r="F186" s="7" t="n">
        <f aca="false">MAX(0,(E186-D186)/D186)</f>
        <v>0</v>
      </c>
      <c r="G186" s="7" t="n">
        <f aca="false">MIN(K186*Parâmetros!$B$19,Parâmetros!$B$8)</f>
        <v>0.0244038339849275</v>
      </c>
      <c r="H186" s="3" t="str">
        <f aca="false">IF(F186&gt;=Parâmetros!$B$6,"Ação","Acompanhamento")</f>
        <v>Acompanhamento</v>
      </c>
      <c r="I186" s="17" t="n">
        <v>303.779193205945</v>
      </c>
      <c r="J186" s="11" t="n">
        <f aca="false">D186*I186</f>
        <v>2178284.35244161</v>
      </c>
      <c r="K186" s="7" t="n">
        <f aca="false">Parâmetros!$B$4+Parâmetros!$B$5*F186</f>
        <v>0.02</v>
      </c>
      <c r="L186" s="11" t="n">
        <f aca="false">D186*(1+G186)</f>
        <v>7345.60790224291</v>
      </c>
      <c r="M186" s="14" t="n">
        <v>0</v>
      </c>
      <c r="N186" s="4" t="n">
        <v>1</v>
      </c>
      <c r="O186" s="3" t="str">
        <f aca="false">IF(AND(B186=4,M186=1),IF(N186&lt;0.8,"Subgrupo 7 dias; fronteira de cluster","Subgrupo 7 dias"),IF(N186&lt;0.8,"Fronteira de cluster",""))</f>
        <v/>
      </c>
    </row>
    <row r="187" customFormat="false" ht="15" hidden="false" customHeight="false" outlineLevel="0" collapsed="false">
      <c r="A187" s="14" t="n">
        <v>186</v>
      </c>
      <c r="B187" s="14" t="n">
        <v>0</v>
      </c>
      <c r="C187" s="14" t="s">
        <v>29</v>
      </c>
      <c r="D187" s="15" t="n">
        <v>3783.83922829582</v>
      </c>
      <c r="E187" s="16" t="n">
        <f aca="false">INDEX(Parâmetros!$C$33:$C$37,MATCH(B187,Parâmetros!$A$33:$A$37,0))</f>
        <v>5476.37033462034</v>
      </c>
      <c r="F187" s="7" t="n">
        <f aca="false">MAX(0,(E187-D187)/D187)</f>
        <v>0.447305237936022</v>
      </c>
      <c r="G187" s="7" t="n">
        <f aca="false">MIN(K187*Parâmetros!$B$19,Parâmetros!$B$8)</f>
        <v>0.160853368574667</v>
      </c>
      <c r="H187" s="3" t="str">
        <f aca="false">IF(F187&gt;=Parâmetros!$B$6,"Ação","Acompanhamento")</f>
        <v>Ação</v>
      </c>
      <c r="I187" s="17" t="n">
        <v>299.511873350924</v>
      </c>
      <c r="J187" s="11" t="n">
        <f aca="false">D187*I187</f>
        <v>1133304.77572559</v>
      </c>
      <c r="K187" s="7" t="n">
        <f aca="false">Parâmetros!$B$4+Parâmetros!$B$5*F187</f>
        <v>0.131826309484005</v>
      </c>
      <c r="L187" s="11" t="n">
        <f aca="false">D187*(1+G187)</f>
        <v>4392.48251431217</v>
      </c>
      <c r="M187" s="14" t="n">
        <v>0</v>
      </c>
      <c r="N187" s="4" t="n">
        <v>1</v>
      </c>
      <c r="O187" s="3" t="str">
        <f aca="false">IF(AND(B187=4,M187=1),IF(N187&lt;0.8,"Subgrupo 7 dias; fronteira de cluster","Subgrupo 7 dias"),IF(N187&lt;0.8,"Fronteira de cluster",""))</f>
        <v/>
      </c>
    </row>
    <row r="188" customFormat="false" ht="15" hidden="false" customHeight="false" outlineLevel="0" collapsed="false">
      <c r="A188" s="14" t="n">
        <v>187</v>
      </c>
      <c r="B188" s="14" t="n">
        <v>1</v>
      </c>
      <c r="C188" s="14" t="s">
        <v>30</v>
      </c>
      <c r="D188" s="15" t="n">
        <v>6279.73341836735</v>
      </c>
      <c r="E188" s="16" t="n">
        <f aca="false">INDEX(Parâmetros!$C$33:$C$37,MATCH(B188,Parâmetros!$A$33:$A$37,0))</f>
        <v>6959.92435130262</v>
      </c>
      <c r="F188" s="7" t="n">
        <f aca="false">MAX(0,(E188-D188)/D188)</f>
        <v>0.108315256018004</v>
      </c>
      <c r="G188" s="7" t="n">
        <f aca="false">MIN(K188*Parâmetros!$B$19,Parâmetros!$B$8)</f>
        <v>0.057445178058656</v>
      </c>
      <c r="H188" s="3" t="str">
        <f aca="false">IF(F188&gt;=Parâmetros!$B$6,"Ação","Acompanhamento")</f>
        <v>Ação</v>
      </c>
      <c r="I188" s="17" t="n">
        <v>303.779193205945</v>
      </c>
      <c r="J188" s="11" t="n">
        <f aca="false">D188*I188</f>
        <v>1907652.35138004</v>
      </c>
      <c r="K188" s="7" t="n">
        <f aca="false">Parâmetros!$B$4+Parâmetros!$B$5*F188</f>
        <v>0.047078814004501</v>
      </c>
      <c r="L188" s="11" t="n">
        <f aca="false">D188*(1+G188)</f>
        <v>6640.47382274635</v>
      </c>
      <c r="M188" s="14" t="n">
        <v>0</v>
      </c>
      <c r="N188" s="4" t="n">
        <v>0.959459459459459</v>
      </c>
      <c r="O188" s="3" t="str">
        <f aca="false">IF(AND(B188=4,M188=1),IF(N188&lt;0.8,"Subgrupo 7 dias; fronteira de cluster","Subgrupo 7 dias"),IF(N188&lt;0.8,"Fronteira de cluster",""))</f>
        <v/>
      </c>
    </row>
    <row r="189" customFormat="false" ht="15" hidden="false" customHeight="false" outlineLevel="0" collapsed="false">
      <c r="A189" s="14" t="n">
        <v>188</v>
      </c>
      <c r="B189" s="14" t="n">
        <v>0</v>
      </c>
      <c r="C189" s="14" t="s">
        <v>29</v>
      </c>
      <c r="D189" s="15" t="n">
        <v>4986.95250320924</v>
      </c>
      <c r="E189" s="16" t="n">
        <f aca="false">INDEX(Parâmetros!$C$33:$C$37,MATCH(B189,Parâmetros!$A$33:$A$37,0))</f>
        <v>5476.37033462034</v>
      </c>
      <c r="F189" s="7" t="n">
        <f aca="false">MAX(0,(E189-D189)/D189)</f>
        <v>0.098139661666346</v>
      </c>
      <c r="G189" s="7" t="n">
        <f aca="false">MIN(K189*Parâmetros!$B$19,Parâmetros!$B$8)</f>
        <v>0.0543411341179581</v>
      </c>
      <c r="H189" s="3" t="str">
        <f aca="false">IF(F189&gt;=Parâmetros!$B$6,"Ação","Acompanhamento")</f>
        <v>Acompanhamento</v>
      </c>
      <c r="I189" s="17" t="n">
        <v>301.841825902336</v>
      </c>
      <c r="J189" s="11" t="n">
        <f aca="false">D189*I189</f>
        <v>1505270.8492569</v>
      </c>
      <c r="K189" s="7" t="n">
        <f aca="false">Parâmetros!$B$4+Parâmetros!$B$5*F189</f>
        <v>0.0445349154165865</v>
      </c>
      <c r="L189" s="11" t="n">
        <f aca="false">D189*(1+G189)</f>
        <v>5257.94915802602</v>
      </c>
      <c r="M189" s="14" t="n">
        <v>0</v>
      </c>
      <c r="N189" s="4" t="n">
        <v>0.98780487804878</v>
      </c>
      <c r="O189" s="3" t="str">
        <f aca="false">IF(AND(B189=4,M189=1),IF(N189&lt;0.8,"Subgrupo 7 dias; fronteira de cluster","Subgrupo 7 dias"),IF(N189&lt;0.8,"Fronteira de cluster",""))</f>
        <v/>
      </c>
    </row>
    <row r="190" customFormat="false" ht="15" hidden="false" customHeight="false" outlineLevel="0" collapsed="false">
      <c r="A190" s="14" t="n">
        <v>189</v>
      </c>
      <c r="B190" s="14" t="n">
        <v>1</v>
      </c>
      <c r="C190" s="14" t="s">
        <v>30</v>
      </c>
      <c r="D190" s="15" t="n">
        <v>8762.92939666239</v>
      </c>
      <c r="E190" s="16" t="n">
        <f aca="false">INDEX(Parâmetros!$C$33:$C$37,MATCH(B190,Parâmetros!$A$33:$A$37,0))</f>
        <v>6959.92435130262</v>
      </c>
      <c r="F190" s="7" t="n">
        <f aca="false">MAX(0,(E190-D190)/D190)</f>
        <v>0</v>
      </c>
      <c r="G190" s="7" t="n">
        <f aca="false">MIN(K190*Parâmetros!$B$19,Parâmetros!$B$8)</f>
        <v>0.0244038339849275</v>
      </c>
      <c r="H190" s="3" t="str">
        <f aca="false">IF(F190&gt;=Parâmetros!$B$6,"Ação","Acompanhamento")</f>
        <v>Acompanhamento</v>
      </c>
      <c r="I190" s="17" t="n">
        <v>301.841825902336</v>
      </c>
      <c r="J190" s="11" t="n">
        <f aca="false">D190*I190</f>
        <v>2645018.60934183</v>
      </c>
      <c r="K190" s="7" t="n">
        <f aca="false">Parâmetros!$B$4+Parâmetros!$B$5*F190</f>
        <v>0.02</v>
      </c>
      <c r="L190" s="11" t="n">
        <f aca="false">D190*(1+G190)</f>
        <v>8976.77847088018</v>
      </c>
      <c r="M190" s="14" t="n">
        <v>0</v>
      </c>
      <c r="N190" s="4" t="n">
        <v>1</v>
      </c>
      <c r="O190" s="3" t="str">
        <f aca="false">IF(AND(B190=4,M190=1),IF(N190&lt;0.8,"Subgrupo 7 dias; fronteira de cluster","Subgrupo 7 dias"),IF(N190&lt;0.8,"Fronteira de cluster",""))</f>
        <v/>
      </c>
    </row>
    <row r="191" customFormat="false" ht="15" hidden="false" customHeight="false" outlineLevel="0" collapsed="false">
      <c r="A191" s="14" t="n">
        <v>190</v>
      </c>
      <c r="B191" s="14" t="n">
        <v>1</v>
      </c>
      <c r="C191" s="14" t="s">
        <v>30</v>
      </c>
      <c r="D191" s="15" t="n">
        <v>7198.95498392283</v>
      </c>
      <c r="E191" s="16" t="n">
        <f aca="false">INDEX(Parâmetros!$C$33:$C$37,MATCH(B191,Parâmetros!$A$33:$A$37,0))</f>
        <v>6959.92435130262</v>
      </c>
      <c r="F191" s="7" t="n">
        <f aca="false">MAX(0,(E191-D191)/D191)</f>
        <v>0</v>
      </c>
      <c r="G191" s="7" t="n">
        <f aca="false">MIN(K191*Parâmetros!$B$19,Parâmetros!$B$8)</f>
        <v>0.0244038339849275</v>
      </c>
      <c r="H191" s="3" t="str">
        <f aca="false">IF(F191&gt;=Parâmetros!$B$6,"Ação","Acompanhamento")</f>
        <v>Acompanhamento</v>
      </c>
      <c r="I191" s="17" t="n">
        <v>299.511873350924</v>
      </c>
      <c r="J191" s="11" t="n">
        <f aca="false">D191*I191</f>
        <v>2156172.49340369</v>
      </c>
      <c r="K191" s="7" t="n">
        <f aca="false">Parâmetros!$B$4+Parâmetros!$B$5*F191</f>
        <v>0.02</v>
      </c>
      <c r="L191" s="11" t="n">
        <f aca="false">D191*(1+G191)</f>
        <v>7374.63708621545</v>
      </c>
      <c r="M191" s="14" t="n">
        <v>0</v>
      </c>
      <c r="N191" s="4" t="n">
        <v>1</v>
      </c>
      <c r="O191" s="3" t="str">
        <f aca="false">IF(AND(B191=4,M191=1),IF(N191&lt;0.8,"Subgrupo 7 dias; fronteira de cluster","Subgrupo 7 dias"),IF(N191&lt;0.8,"Fronteira de cluster",""))</f>
        <v/>
      </c>
    </row>
    <row r="192" customFormat="false" ht="15" hidden="false" customHeight="false" outlineLevel="0" collapsed="false">
      <c r="A192" s="14" t="n">
        <v>191</v>
      </c>
      <c r="B192" s="14" t="n">
        <v>4</v>
      </c>
      <c r="C192" s="14" t="s">
        <v>33</v>
      </c>
      <c r="D192" s="15" t="n">
        <v>6838.93729903537</v>
      </c>
      <c r="E192" s="16" t="n">
        <f aca="false">INDEX(Parâmetros!$C$33:$C$37,MATCH(B192,Parâmetros!$A$33:$A$37,0))</f>
        <v>8837.10512820513</v>
      </c>
      <c r="F192" s="7" t="n">
        <f aca="false">MAX(0,(E192-D192)/D192)</f>
        <v>0.292175193571609</v>
      </c>
      <c r="G192" s="7" t="n">
        <f aca="false">MIN(K192*Parâmetros!$B$19,Parâmetros!$B$8)</f>
        <v>0.113531270465372</v>
      </c>
      <c r="H192" s="3" t="str">
        <f aca="false">IF(F192&gt;=Parâmetros!$B$6,"Ação","Acompanhamento")</f>
        <v>Ação</v>
      </c>
      <c r="I192" s="17" t="n">
        <v>299.511873350924</v>
      </c>
      <c r="J192" s="11" t="n">
        <f aca="false">D192*I192</f>
        <v>2048342.92216359</v>
      </c>
      <c r="K192" s="7" t="n">
        <f aca="false">Parâmetros!$B$4+Parâmetros!$B$5*F192</f>
        <v>0.0930437983929023</v>
      </c>
      <c r="L192" s="11" t="n">
        <f aca="false">D192*(1+G192)</f>
        <v>7615.37053922788</v>
      </c>
      <c r="M192" s="14" t="n">
        <v>0</v>
      </c>
      <c r="N192" s="4" t="n">
        <v>1</v>
      </c>
      <c r="O192" s="3" t="str">
        <f aca="false">IF(AND(B192=4,M192=1),IF(N192&lt;0.8,"Subgrupo 7 dias; fronteira de cluster","Subgrupo 7 dias"),IF(N192&lt;0.8,"Fronteira de cluster",""))</f>
        <v/>
      </c>
    </row>
    <row r="193" customFormat="false" ht="15" hidden="false" customHeight="false" outlineLevel="0" collapsed="false">
      <c r="A193" s="14" t="n">
        <v>192</v>
      </c>
      <c r="B193" s="14" t="n">
        <v>1</v>
      </c>
      <c r="C193" s="14" t="s">
        <v>30</v>
      </c>
      <c r="D193" s="15" t="n">
        <v>9016.8344051447</v>
      </c>
      <c r="E193" s="16" t="n">
        <f aca="false">INDEX(Parâmetros!$C$33:$C$37,MATCH(B193,Parâmetros!$A$33:$A$37,0))</f>
        <v>6959.92435130262</v>
      </c>
      <c r="F193" s="7" t="n">
        <f aca="false">MAX(0,(E193-D193)/D193)</f>
        <v>0</v>
      </c>
      <c r="G193" s="7" t="n">
        <f aca="false">MIN(K193*Parâmetros!$B$19,Parâmetros!$B$8)</f>
        <v>0.0244038339849275</v>
      </c>
      <c r="H193" s="3" t="str">
        <f aca="false">IF(F193&gt;=Parâmetros!$B$6,"Ação","Acompanhamento")</f>
        <v>Acompanhamento</v>
      </c>
      <c r="I193" s="17" t="n">
        <v>299.511873350924</v>
      </c>
      <c r="J193" s="11" t="n">
        <f aca="false">D193*I193</f>
        <v>2700648.96437995</v>
      </c>
      <c r="K193" s="7" t="n">
        <f aca="false">Parâmetros!$B$4+Parâmetros!$B$5*F193</f>
        <v>0.02</v>
      </c>
      <c r="L193" s="11" t="n">
        <f aca="false">D193*(1+G193)</f>
        <v>9236.87973503743</v>
      </c>
      <c r="M193" s="14" t="n">
        <v>0</v>
      </c>
      <c r="N193" s="4" t="n">
        <v>1</v>
      </c>
      <c r="O193" s="3" t="str">
        <f aca="false">IF(AND(B193=4,M193=1),IF(N193&lt;0.8,"Subgrupo 7 dias; fronteira de cluster","Subgrupo 7 dias"),IF(N193&lt;0.8,"Fronteira de cluster",""))</f>
        <v/>
      </c>
    </row>
    <row r="194" customFormat="false" ht="15" hidden="false" customHeight="false" outlineLevel="0" collapsed="false">
      <c r="A194" s="14" t="n">
        <v>193</v>
      </c>
      <c r="B194" s="14" t="n">
        <v>0</v>
      </c>
      <c r="C194" s="14" t="s">
        <v>29</v>
      </c>
      <c r="D194" s="15" t="n">
        <v>5362.03603603604</v>
      </c>
      <c r="E194" s="16" t="n">
        <f aca="false">INDEX(Parâmetros!$C$33:$C$37,MATCH(B194,Parâmetros!$A$33:$A$37,0))</f>
        <v>5476.37033462034</v>
      </c>
      <c r="F194" s="7" t="n">
        <f aca="false">MAX(0,(E194-D194)/D194)</f>
        <v>0.0213229261824994</v>
      </c>
      <c r="G194" s="7" t="n">
        <f aca="false">MIN(K194*Parâmetros!$B$19,Parâmetros!$B$8)</f>
        <v>0.0309083483678097</v>
      </c>
      <c r="H194" s="3" t="str">
        <f aca="false">IF(F194&gt;=Parâmetros!$B$6,"Ação","Acompanhamento")</f>
        <v>Acompanhamento</v>
      </c>
      <c r="I194" s="17" t="n">
        <v>301.066878980892</v>
      </c>
      <c r="J194" s="11" t="n">
        <f aca="false">D194*I194</f>
        <v>1614331.45435244</v>
      </c>
      <c r="K194" s="7" t="n">
        <f aca="false">Parâmetros!$B$4+Parâmetros!$B$5*F194</f>
        <v>0.0253307315456249</v>
      </c>
      <c r="L194" s="11" t="n">
        <f aca="false">D194*(1+G194)</f>
        <v>5527.76771379859</v>
      </c>
      <c r="M194" s="14" t="n">
        <v>0</v>
      </c>
      <c r="N194" s="4" t="n">
        <v>0.988235294117647</v>
      </c>
      <c r="O194" s="3" t="str">
        <f aca="false">IF(AND(B194=4,M194=1),IF(N194&lt;0.8,"Subgrupo 7 dias; fronteira de cluster","Subgrupo 7 dias"),IF(N194&lt;0.8,"Fronteira de cluster",""))</f>
        <v/>
      </c>
    </row>
    <row r="195" customFormat="false" ht="15" hidden="false" customHeight="false" outlineLevel="0" collapsed="false">
      <c r="A195" s="14" t="n">
        <v>194</v>
      </c>
      <c r="B195" s="14" t="n">
        <v>1</v>
      </c>
      <c r="C195" s="14" t="s">
        <v>30</v>
      </c>
      <c r="D195" s="15" t="n">
        <v>4829.49292149292</v>
      </c>
      <c r="E195" s="16" t="n">
        <f aca="false">INDEX(Parâmetros!$C$33:$C$37,MATCH(B195,Parâmetros!$A$33:$A$37,0))</f>
        <v>6959.92435130262</v>
      </c>
      <c r="F195" s="7" t="n">
        <f aca="false">MAX(0,(E195-D195)/D195)</f>
        <v>0.441129423821814</v>
      </c>
      <c r="G195" s="7" t="n">
        <f aca="false">MIN(K195*Parâmetros!$B$19,Parâmetros!$B$8)</f>
        <v>0.158969449295105</v>
      </c>
      <c r="H195" s="3" t="str">
        <f aca="false">IF(F195&gt;=Parâmetros!$B$6,"Ação","Acompanhamento")</f>
        <v>Ação</v>
      </c>
      <c r="I195" s="17" t="n">
        <v>301.066878980892</v>
      </c>
      <c r="J195" s="11" t="n">
        <f aca="false">D195*I195</f>
        <v>1454000.36093418</v>
      </c>
      <c r="K195" s="7" t="n">
        <f aca="false">Parâmetros!$B$4+Parâmetros!$B$5*F195</f>
        <v>0.130282355955453</v>
      </c>
      <c r="L195" s="11" t="n">
        <f aca="false">D195*(1+G195)</f>
        <v>5597.23475159726</v>
      </c>
      <c r="M195" s="14" t="n">
        <v>0</v>
      </c>
      <c r="N195" s="4" t="n">
        <v>1</v>
      </c>
      <c r="O195" s="3" t="str">
        <f aca="false">IF(AND(B195=4,M195=1),IF(N195&lt;0.8,"Subgrupo 7 dias; fronteira de cluster","Subgrupo 7 dias"),IF(N195&lt;0.8,"Fronteira de cluster",""))</f>
        <v/>
      </c>
    </row>
    <row r="196" customFormat="false" ht="15" hidden="false" customHeight="false" outlineLevel="0" collapsed="false">
      <c r="A196" s="14" t="n">
        <v>195</v>
      </c>
      <c r="B196" s="14" t="n">
        <v>4</v>
      </c>
      <c r="C196" s="14" t="s">
        <v>33</v>
      </c>
      <c r="D196" s="15" t="n">
        <v>10713.1797175867</v>
      </c>
      <c r="E196" s="16" t="n">
        <f aca="false">INDEX(Parâmetros!$C$33:$C$37,MATCH(B196,Parâmetros!$A$33:$A$37,0))</f>
        <v>8837.10512820513</v>
      </c>
      <c r="F196" s="7" t="n">
        <f aca="false">MAX(0,(E196-D196)/D196)</f>
        <v>0</v>
      </c>
      <c r="G196" s="7" t="n">
        <f aca="false">MIN(K196*Parâmetros!$B$19,Parâmetros!$B$8)</f>
        <v>0.0244038339849275</v>
      </c>
      <c r="H196" s="3" t="str">
        <f aca="false">IF(F196&gt;=Parâmetros!$B$6,"Ação","Acompanhamento")</f>
        <v>Acompanhamento</v>
      </c>
      <c r="I196" s="17" t="n">
        <v>301.841825902336</v>
      </c>
      <c r="J196" s="11" t="n">
        <f aca="false">D196*I196</f>
        <v>3233685.72717622</v>
      </c>
      <c r="K196" s="7" t="n">
        <f aca="false">Parâmetros!$B$4+Parâmetros!$B$5*F196</f>
        <v>0.02</v>
      </c>
      <c r="L196" s="11" t="n">
        <f aca="false">D196*(1+G196)</f>
        <v>10974.6223768653</v>
      </c>
      <c r="M196" s="14" t="n">
        <v>0</v>
      </c>
      <c r="N196" s="4" t="n">
        <v>1</v>
      </c>
      <c r="O196" s="3" t="str">
        <f aca="false">IF(AND(B196=4,M196=1),IF(N196&lt;0.8,"Subgrupo 7 dias; fronteira de cluster","Subgrupo 7 dias"),IF(N196&lt;0.8,"Fronteira de cluster",""))</f>
        <v/>
      </c>
    </row>
    <row r="197" customFormat="false" ht="15" hidden="false" customHeight="false" outlineLevel="0" collapsed="false">
      <c r="A197" s="14" t="n">
        <v>196</v>
      </c>
      <c r="B197" s="14" t="n">
        <v>0</v>
      </c>
      <c r="C197" s="14" t="s">
        <v>29</v>
      </c>
      <c r="D197" s="15" t="n">
        <v>5216.33631713555</v>
      </c>
      <c r="E197" s="16" t="n">
        <f aca="false">INDEX(Parâmetros!$C$33:$C$37,MATCH(B197,Parâmetros!$A$33:$A$37,0))</f>
        <v>5476.37033462034</v>
      </c>
      <c r="F197" s="7" t="n">
        <f aca="false">MAX(0,(E197-D197)/D197)</f>
        <v>0.0498499333009987</v>
      </c>
      <c r="G197" s="7" t="n">
        <f aca="false">MIN(K197*Parâmetros!$B$19,Parâmetros!$B$8)</f>
        <v>0.0396104526903934</v>
      </c>
      <c r="H197" s="3" t="str">
        <f aca="false">IF(F197&gt;=Parâmetros!$B$6,"Ação","Acompanhamento")</f>
        <v>Acompanhamento</v>
      </c>
      <c r="I197" s="17" t="n">
        <v>303.004246284501</v>
      </c>
      <c r="J197" s="11" t="n">
        <f aca="false">D197*I197</f>
        <v>1580572.05414013</v>
      </c>
      <c r="K197" s="7" t="n">
        <f aca="false">Parâmetros!$B$4+Parâmetros!$B$5*F197</f>
        <v>0.0324624833252497</v>
      </c>
      <c r="L197" s="11" t="n">
        <f aca="false">D197*(1+G197)</f>
        <v>5422.95776004263</v>
      </c>
      <c r="M197" s="14" t="n">
        <v>0</v>
      </c>
      <c r="N197" s="4" t="n">
        <v>1</v>
      </c>
      <c r="O197" s="3" t="str">
        <f aca="false">IF(AND(B197=4,M197=1),IF(N197&lt;0.8,"Subgrupo 7 dias; fronteira de cluster","Subgrupo 7 dias"),IF(N197&lt;0.8,"Fronteira de cluster",""))</f>
        <v/>
      </c>
    </row>
    <row r="198" customFormat="false" ht="15" hidden="false" customHeight="false" outlineLevel="0" collapsed="false">
      <c r="A198" s="14" t="n">
        <v>197</v>
      </c>
      <c r="B198" s="14" t="n">
        <v>0</v>
      </c>
      <c r="C198" s="14" t="s">
        <v>29</v>
      </c>
      <c r="D198" s="15" t="n">
        <v>6846.66836734694</v>
      </c>
      <c r="E198" s="16" t="n">
        <f aca="false">INDEX(Parâmetros!$C$33:$C$37,MATCH(B198,Parâmetros!$A$33:$A$37,0))</f>
        <v>5476.37033462034</v>
      </c>
      <c r="F198" s="7" t="n">
        <f aca="false">MAX(0,(E198-D198)/D198)</f>
        <v>0</v>
      </c>
      <c r="G198" s="7" t="n">
        <f aca="false">MIN(K198*Parâmetros!$B$19,Parâmetros!$B$8)</f>
        <v>0.0244038339849275</v>
      </c>
      <c r="H198" s="3" t="str">
        <f aca="false">IF(F198&gt;=Parâmetros!$B$6,"Ação","Acompanhamento")</f>
        <v>Acompanhamento</v>
      </c>
      <c r="I198" s="17" t="n">
        <v>303.779193205945</v>
      </c>
      <c r="J198" s="11" t="n">
        <f aca="false">D198*I198</f>
        <v>2079875.39278132</v>
      </c>
      <c r="K198" s="7" t="n">
        <f aca="false">Parâmetros!$B$4+Parâmetros!$B$5*F198</f>
        <v>0.02</v>
      </c>
      <c r="L198" s="11" t="n">
        <f aca="false">D198*(1+G198)</f>
        <v>7013.75332553353</v>
      </c>
      <c r="M198" s="14" t="n">
        <v>0</v>
      </c>
      <c r="N198" s="4" t="n">
        <v>0.814814814814815</v>
      </c>
      <c r="O198" s="3" t="str">
        <f aca="false">IF(AND(B198=4,M198=1),IF(N198&lt;0.8,"Subgrupo 7 dias; fronteira de cluster","Subgrupo 7 dias"),IF(N198&lt;0.8,"Fronteira de cluster",""))</f>
        <v/>
      </c>
    </row>
    <row r="199" customFormat="false" ht="15" hidden="false" customHeight="false" outlineLevel="0" collapsed="false">
      <c r="A199" s="14" t="n">
        <v>198</v>
      </c>
      <c r="B199" s="14" t="n">
        <v>3</v>
      </c>
      <c r="C199" s="14" t="s">
        <v>32</v>
      </c>
      <c r="D199" s="15" t="n">
        <v>2900.60485933504</v>
      </c>
      <c r="E199" s="16" t="n">
        <f aca="false">INDEX(Parâmetros!$C$33:$C$37,MATCH(B199,Parâmetros!$A$33:$A$37,0))</f>
        <v>5909.24487179487</v>
      </c>
      <c r="F199" s="7" t="n">
        <f aca="false">MAX(0,(E199-D199)/D199)</f>
        <v>1.03724573265369</v>
      </c>
      <c r="G199" s="7" t="n">
        <f aca="false">MIN(K199*Parâmetros!$B$19,Parâmetros!$B$8)</f>
        <v>0.2</v>
      </c>
      <c r="H199" s="3" t="str">
        <f aca="false">IF(F199&gt;=Parâmetros!$B$6,"Ação","Acompanhamento")</f>
        <v>Ação</v>
      </c>
      <c r="I199" s="17" t="n">
        <v>303.004246284501</v>
      </c>
      <c r="J199" s="11" t="n">
        <f aca="false">D199*I199</f>
        <v>878895.589171975</v>
      </c>
      <c r="K199" s="7" t="n">
        <f aca="false">Parâmetros!$B$4+Parâmetros!$B$5*F199</f>
        <v>0.279311433163423</v>
      </c>
      <c r="L199" s="11" t="n">
        <f aca="false">D199*(1+G199)</f>
        <v>3480.72583120205</v>
      </c>
      <c r="M199" s="14" t="n">
        <v>0</v>
      </c>
      <c r="N199" s="4" t="n">
        <v>1</v>
      </c>
      <c r="O199" s="3" t="str">
        <f aca="false">IF(AND(B199=4,M199=1),IF(N199&lt;0.8,"Subgrupo 7 dias; fronteira de cluster","Subgrupo 7 dias"),IF(N199&lt;0.8,"Fronteira de cluster",""))</f>
        <v/>
      </c>
    </row>
    <row r="200" customFormat="false" ht="15" hidden="false" customHeight="false" outlineLevel="0" collapsed="false">
      <c r="A200" s="14" t="n">
        <v>199</v>
      </c>
      <c r="B200" s="14" t="n">
        <v>1</v>
      </c>
      <c r="C200" s="14" t="s">
        <v>30</v>
      </c>
      <c r="D200" s="15" t="n">
        <v>7955.69704749679</v>
      </c>
      <c r="E200" s="16" t="n">
        <f aca="false">INDEX(Parâmetros!$C$33:$C$37,MATCH(B200,Parâmetros!$A$33:$A$37,0))</f>
        <v>6959.92435130262</v>
      </c>
      <c r="F200" s="7" t="n">
        <f aca="false">MAX(0,(E200-D200)/D200)</f>
        <v>0</v>
      </c>
      <c r="G200" s="7" t="n">
        <f aca="false">MIN(K200*Parâmetros!$B$19,Parâmetros!$B$8)</f>
        <v>0.0244038339849275</v>
      </c>
      <c r="H200" s="3" t="str">
        <f aca="false">IF(F200&gt;=Parâmetros!$B$6,"Ação","Acompanhamento")</f>
        <v>Acompanhamento</v>
      </c>
      <c r="I200" s="17" t="n">
        <v>301.841825902336</v>
      </c>
      <c r="J200" s="11" t="n">
        <f aca="false">D200*I200</f>
        <v>2401362.12314225</v>
      </c>
      <c r="K200" s="7" t="n">
        <f aca="false">Parâmetros!$B$4+Parâmetros!$B$5*F200</f>
        <v>0.02</v>
      </c>
      <c r="L200" s="11" t="n">
        <f aca="false">D200*(1+G200)</f>
        <v>8149.84655747828</v>
      </c>
      <c r="M200" s="14" t="n">
        <v>0</v>
      </c>
      <c r="N200" s="4" t="n">
        <v>1</v>
      </c>
      <c r="O200" s="3" t="str">
        <f aca="false">IF(AND(B200=4,M200=1),IF(N200&lt;0.8,"Subgrupo 7 dias; fronteira de cluster","Subgrupo 7 dias"),IF(N200&lt;0.8,"Fronteira de cluster",""))</f>
        <v/>
      </c>
    </row>
    <row r="201" customFormat="false" ht="15" hidden="false" customHeight="false" outlineLevel="0" collapsed="false">
      <c r="A201" s="14" t="n">
        <v>200</v>
      </c>
      <c r="B201" s="14" t="n">
        <v>4</v>
      </c>
      <c r="C201" s="14" t="s">
        <v>33</v>
      </c>
      <c r="D201" s="15" t="n">
        <v>7729.54428754814</v>
      </c>
      <c r="E201" s="16" t="n">
        <f aca="false">INDEX(Parâmetros!$C$33:$C$37,MATCH(B201,Parâmetros!$A$33:$A$37,0))</f>
        <v>8837.10512820513</v>
      </c>
      <c r="F201" s="7" t="n">
        <f aca="false">MAX(0,(E201-D201)/D201)</f>
        <v>0.143289280642484</v>
      </c>
      <c r="G201" s="7" t="n">
        <f aca="false">MIN(K201*Parâmetros!$B$19,Parâmetros!$B$8)</f>
        <v>0.068113931692663</v>
      </c>
      <c r="H201" s="3" t="str">
        <f aca="false">IF(F201&gt;=Parâmetros!$B$6,"Ação","Acompanhamento")</f>
        <v>Ação</v>
      </c>
      <c r="I201" s="17" t="n">
        <v>301.841825902336</v>
      </c>
      <c r="J201" s="11" t="n">
        <f aca="false">D201*I201</f>
        <v>2333099.7611465</v>
      </c>
      <c r="K201" s="7" t="n">
        <f aca="false">Parâmetros!$B$4+Parâmetros!$B$5*F201</f>
        <v>0.0558223201606209</v>
      </c>
      <c r="L201" s="11" t="n">
        <f aca="false">D201*(1+G201)</f>
        <v>8256.03393916561</v>
      </c>
      <c r="M201" s="14" t="n">
        <v>0</v>
      </c>
      <c r="N201" s="4" t="n">
        <v>1</v>
      </c>
      <c r="O201" s="3" t="str">
        <f aca="false">IF(AND(B201=4,M201=1),IF(N201&lt;0.8,"Subgrupo 7 dias; fronteira de cluster","Subgrupo 7 dias"),IF(N201&lt;0.8,"Fronteira de cluster",""))</f>
        <v/>
      </c>
    </row>
    <row r="202" customFormat="false" ht="15" hidden="false" customHeight="false" outlineLevel="0" collapsed="false">
      <c r="A202" s="14" t="n">
        <v>201</v>
      </c>
      <c r="B202" s="14" t="n">
        <v>1</v>
      </c>
      <c r="C202" s="14" t="s">
        <v>30</v>
      </c>
      <c r="D202" s="15" t="n">
        <v>5249.35173299101</v>
      </c>
      <c r="E202" s="16" t="n">
        <f aca="false">INDEX(Parâmetros!$C$33:$C$37,MATCH(B202,Parâmetros!$A$33:$A$37,0))</f>
        <v>6959.92435130262</v>
      </c>
      <c r="F202" s="7" t="n">
        <f aca="false">MAX(0,(E202-D202)/D202)</f>
        <v>0.325863593319731</v>
      </c>
      <c r="G202" s="7" t="n">
        <f aca="false">MIN(K202*Parâmetros!$B$19,Parâmetros!$B$8)</f>
        <v>0.12380784689876</v>
      </c>
      <c r="H202" s="3" t="str">
        <f aca="false">IF(F202&gt;=Parâmetros!$B$6,"Ação","Acompanhamento")</f>
        <v>Ação</v>
      </c>
      <c r="I202" s="17" t="n">
        <v>301.841825902336</v>
      </c>
      <c r="J202" s="11" t="n">
        <f aca="false">D202*I202</f>
        <v>1584473.9118896</v>
      </c>
      <c r="K202" s="7" t="n">
        <f aca="false">Parâmetros!$B$4+Parâmetros!$B$5*F202</f>
        <v>0.101465898329933</v>
      </c>
      <c r="L202" s="11" t="n">
        <f aca="false">D202*(1+G202)</f>
        <v>5899.26266866691</v>
      </c>
      <c r="M202" s="14" t="n">
        <v>0</v>
      </c>
      <c r="N202" s="4" t="n">
        <v>1</v>
      </c>
      <c r="O202" s="3" t="str">
        <f aca="false">IF(AND(B202=4,M202=1),IF(N202&lt;0.8,"Subgrupo 7 dias; fronteira de cluster","Subgrupo 7 dias"),IF(N202&lt;0.8,"Fronteira de cluster",""))</f>
        <v/>
      </c>
    </row>
    <row r="203" customFormat="false" ht="15" hidden="false" customHeight="false" outlineLevel="0" collapsed="false">
      <c r="A203" s="14" t="n">
        <v>202</v>
      </c>
      <c r="B203" s="14" t="n">
        <v>1</v>
      </c>
      <c r="C203" s="14" t="s">
        <v>30</v>
      </c>
      <c r="D203" s="15" t="n">
        <v>6065.79769526248</v>
      </c>
      <c r="E203" s="16" t="n">
        <f aca="false">INDEX(Parâmetros!$C$33:$C$37,MATCH(B203,Parâmetros!$A$33:$A$37,0))</f>
        <v>6959.92435130262</v>
      </c>
      <c r="F203" s="7" t="n">
        <f aca="false">MAX(0,(E203-D203)/D203)</f>
        <v>0.147404628535249</v>
      </c>
      <c r="G203" s="7" t="n">
        <f aca="false">MIN(K203*Parâmetros!$B$19,Parâmetros!$B$8)</f>
        <v>0.069369310027229</v>
      </c>
      <c r="H203" s="3" t="str">
        <f aca="false">IF(F203&gt;=Parâmetros!$B$6,"Ação","Acompanhamento")</f>
        <v>Ação</v>
      </c>
      <c r="I203" s="17" t="n">
        <v>302.616772823779</v>
      </c>
      <c r="J203" s="11" t="n">
        <f aca="false">D203*I203</f>
        <v>1835612.12314225</v>
      </c>
      <c r="K203" s="7" t="n">
        <f aca="false">Parâmetros!$B$4+Parâmetros!$B$5*F203</f>
        <v>0.0568511571338123</v>
      </c>
      <c r="L203" s="11" t="n">
        <f aca="false">D203*(1+G203)</f>
        <v>6486.5778961476</v>
      </c>
      <c r="M203" s="14" t="n">
        <v>0</v>
      </c>
      <c r="N203" s="4" t="n">
        <v>1</v>
      </c>
      <c r="O203" s="3" t="str">
        <f aca="false">IF(AND(B203=4,M203=1),IF(N203&lt;0.8,"Subgrupo 7 dias; fronteira de cluster","Subgrupo 7 dias"),IF(N203&lt;0.8,"Fronteira de cluster",""))</f>
        <v/>
      </c>
    </row>
    <row r="204" customFormat="false" ht="15" hidden="false" customHeight="false" outlineLevel="0" collapsed="false">
      <c r="A204" s="14" t="n">
        <v>203</v>
      </c>
      <c r="B204" s="14" t="n">
        <v>2</v>
      </c>
      <c r="C204" s="14" t="s">
        <v>31</v>
      </c>
      <c r="D204" s="15" t="n">
        <v>6775.24040920716</v>
      </c>
      <c r="E204" s="16" t="n">
        <f aca="false">INDEX(Parâmetros!$C$33:$C$37,MATCH(B204,Parâmetros!$A$33:$A$37,0))</f>
        <v>6324.80102695764</v>
      </c>
      <c r="F204" s="7" t="n">
        <f aca="false">MAX(0,(E204-D204)/D204)</f>
        <v>0</v>
      </c>
      <c r="G204" s="7" t="n">
        <f aca="false">MIN(K204*Parâmetros!$B$19,Parâmetros!$B$8)</f>
        <v>0.0244038339849275</v>
      </c>
      <c r="H204" s="3" t="str">
        <f aca="false">IF(F204&gt;=Parâmetros!$B$6,"Ação","Acompanhamento")</f>
        <v>Acompanhamento</v>
      </c>
      <c r="I204" s="17" t="n">
        <v>303.004246284501</v>
      </c>
      <c r="J204" s="11" t="n">
        <f aca="false">D204*I204</f>
        <v>2052926.61358811</v>
      </c>
      <c r="K204" s="7" t="n">
        <f aca="false">Parâmetros!$B$4+Parâmetros!$B$5*F204</f>
        <v>0.02</v>
      </c>
      <c r="L204" s="11" t="n">
        <f aca="false">D204*(1+G204)</f>
        <v>6940.58225136143</v>
      </c>
      <c r="M204" s="14" t="n">
        <v>0</v>
      </c>
      <c r="N204" s="4" t="n">
        <v>0.988095238095238</v>
      </c>
      <c r="O204" s="3" t="str">
        <f aca="false">IF(AND(B204=4,M204=1),IF(N204&lt;0.8,"Subgrupo 7 dias; fronteira de cluster","Subgrupo 7 dias"),IF(N204&lt;0.8,"Fronteira de cluster",""))</f>
        <v/>
      </c>
    </row>
    <row r="205" customFormat="false" ht="15" hidden="false" customHeight="false" outlineLevel="0" collapsed="false">
      <c r="A205" s="14" t="n">
        <v>204</v>
      </c>
      <c r="B205" s="14" t="n">
        <v>1</v>
      </c>
      <c r="C205" s="14" t="s">
        <v>30</v>
      </c>
      <c r="D205" s="15" t="n">
        <v>5486.24758842444</v>
      </c>
      <c r="E205" s="16" t="n">
        <f aca="false">INDEX(Parâmetros!$C$33:$C$37,MATCH(B205,Parâmetros!$A$33:$A$37,0))</f>
        <v>6959.92435130262</v>
      </c>
      <c r="F205" s="7" t="n">
        <f aca="false">MAX(0,(E205-D205)/D205)</f>
        <v>0.268612879591422</v>
      </c>
      <c r="G205" s="7" t="n">
        <f aca="false">MIN(K205*Parâmetros!$B$19,Parâmetros!$B$8)</f>
        <v>0.106343635481957</v>
      </c>
      <c r="H205" s="3" t="str">
        <f aca="false">IF(F205&gt;=Parâmetros!$B$6,"Ação","Acompanhamento")</f>
        <v>Ação</v>
      </c>
      <c r="I205" s="17" t="n">
        <v>299.511873350924</v>
      </c>
      <c r="J205" s="11" t="n">
        <f aca="false">D205*I205</f>
        <v>1643196.29287599</v>
      </c>
      <c r="K205" s="7" t="n">
        <f aca="false">Parâmetros!$B$4+Parâmetros!$B$5*F205</f>
        <v>0.0871532198978555</v>
      </c>
      <c r="L205" s="11" t="n">
        <f aca="false">D205*(1+G205)</f>
        <v>6069.67510213161</v>
      </c>
      <c r="M205" s="14" t="n">
        <v>0</v>
      </c>
      <c r="N205" s="4" t="n">
        <v>1</v>
      </c>
      <c r="O205" s="3" t="str">
        <f aca="false">IF(AND(B205=4,M205=1),IF(N205&lt;0.8,"Subgrupo 7 dias; fronteira de cluster","Subgrupo 7 dias"),IF(N205&lt;0.8,"Fronteira de cluster",""))</f>
        <v/>
      </c>
    </row>
    <row r="206" customFormat="false" ht="15" hidden="false" customHeight="false" outlineLevel="0" collapsed="false">
      <c r="A206" s="14" t="n">
        <v>205</v>
      </c>
      <c r="B206" s="14" t="n">
        <v>0</v>
      </c>
      <c r="C206" s="14" t="s">
        <v>29</v>
      </c>
      <c r="D206" s="15" t="n">
        <v>6536.82015306122</v>
      </c>
      <c r="E206" s="16" t="n">
        <f aca="false">INDEX(Parâmetros!$C$33:$C$37,MATCH(B206,Parâmetros!$A$33:$A$37,0))</f>
        <v>5476.37033462034</v>
      </c>
      <c r="F206" s="7" t="n">
        <f aca="false">MAX(0,(E206-D206)/D206)</f>
        <v>0</v>
      </c>
      <c r="G206" s="7" t="n">
        <f aca="false">MIN(K206*Parâmetros!$B$19,Parâmetros!$B$8)</f>
        <v>0.0244038339849275</v>
      </c>
      <c r="H206" s="3" t="str">
        <f aca="false">IF(F206&gt;=Parâmetros!$B$6,"Ação","Acompanhamento")</f>
        <v>Acompanhamento</v>
      </c>
      <c r="I206" s="17" t="n">
        <v>303.779193205945</v>
      </c>
      <c r="J206" s="11" t="n">
        <f aca="false">D206*I206</f>
        <v>1985749.9522293</v>
      </c>
      <c r="K206" s="7" t="n">
        <f aca="false">Parâmetros!$B$4+Parâmetros!$B$5*F206</f>
        <v>0.02</v>
      </c>
      <c r="L206" s="11" t="n">
        <f aca="false">D206*(1+G206)</f>
        <v>6696.34362686586</v>
      </c>
      <c r="M206" s="14" t="n">
        <v>0</v>
      </c>
      <c r="N206" s="4" t="n">
        <v>0.973684210526316</v>
      </c>
      <c r="O206" s="3" t="str">
        <f aca="false">IF(AND(B206=4,M206=1),IF(N206&lt;0.8,"Subgrupo 7 dias; fronteira de cluster","Subgrupo 7 dias"),IF(N206&lt;0.8,"Fronteira de cluster",""))</f>
        <v/>
      </c>
    </row>
    <row r="207" customFormat="false" ht="15" hidden="false" customHeight="false" outlineLevel="0" collapsed="false">
      <c r="A207" s="14" t="n">
        <v>206</v>
      </c>
      <c r="B207" s="14" t="n">
        <v>0</v>
      </c>
      <c r="C207" s="14" t="s">
        <v>29</v>
      </c>
      <c r="D207" s="15" t="n">
        <v>7157.55198973042</v>
      </c>
      <c r="E207" s="16" t="n">
        <f aca="false">INDEX(Parâmetros!$C$33:$C$37,MATCH(B207,Parâmetros!$A$33:$A$37,0))</f>
        <v>5476.37033462034</v>
      </c>
      <c r="F207" s="7" t="n">
        <f aca="false">MAX(0,(E207-D207)/D207)</f>
        <v>0</v>
      </c>
      <c r="G207" s="7" t="n">
        <f aca="false">MIN(K207*Parâmetros!$B$19,Parâmetros!$B$8)</f>
        <v>0.0244038339849275</v>
      </c>
      <c r="H207" s="3" t="str">
        <f aca="false">IF(F207&gt;=Parâmetros!$B$6,"Ação","Acompanhamento")</f>
        <v>Acompanhamento</v>
      </c>
      <c r="I207" s="17" t="n">
        <v>301.841825902336</v>
      </c>
      <c r="J207" s="11" t="n">
        <f aca="false">D207*I207</f>
        <v>2160448.56157113</v>
      </c>
      <c r="K207" s="7" t="n">
        <f aca="false">Parâmetros!$B$4+Parâmetros!$B$5*F207</f>
        <v>0.02</v>
      </c>
      <c r="L207" s="11" t="n">
        <f aca="false">D207*(1+G207)</f>
        <v>7332.22370022629</v>
      </c>
      <c r="M207" s="14" t="n">
        <v>0</v>
      </c>
      <c r="N207" s="4" t="n">
        <v>0.963855421686747</v>
      </c>
      <c r="O207" s="3" t="str">
        <f aca="false">IF(AND(B207=4,M207=1),IF(N207&lt;0.8,"Subgrupo 7 dias; fronteira de cluster","Subgrupo 7 dias"),IF(N207&lt;0.8,"Fronteira de cluster",""))</f>
        <v/>
      </c>
    </row>
    <row r="208" customFormat="false" ht="15" hidden="false" customHeight="false" outlineLevel="0" collapsed="false">
      <c r="A208" s="14" t="n">
        <v>207</v>
      </c>
      <c r="B208" s="14" t="n">
        <v>1</v>
      </c>
      <c r="C208" s="14" t="s">
        <v>30</v>
      </c>
      <c r="D208" s="15" t="n">
        <v>11184.2066326531</v>
      </c>
      <c r="E208" s="16" t="n">
        <f aca="false">INDEX(Parâmetros!$C$33:$C$37,MATCH(B208,Parâmetros!$A$33:$A$37,0))</f>
        <v>6959.92435130262</v>
      </c>
      <c r="F208" s="7" t="n">
        <f aca="false">MAX(0,(E208-D208)/D208)</f>
        <v>0</v>
      </c>
      <c r="G208" s="7" t="n">
        <f aca="false">MIN(K208*Parâmetros!$B$19,Parâmetros!$B$8)</f>
        <v>0.0244038339849275</v>
      </c>
      <c r="H208" s="3" t="str">
        <f aca="false">IF(F208&gt;=Parâmetros!$B$6,"Ação","Acompanhamento")</f>
        <v>Acompanhamento</v>
      </c>
      <c r="I208" s="17" t="n">
        <v>303.779193205945</v>
      </c>
      <c r="J208" s="11" t="n">
        <f aca="false">D208*I208</f>
        <v>3397529.26751592</v>
      </c>
      <c r="K208" s="7" t="n">
        <f aca="false">Parâmetros!$B$4+Parâmetros!$B$5*F208</f>
        <v>0.02</v>
      </c>
      <c r="L208" s="11" t="n">
        <f aca="false">D208*(1+G208)</f>
        <v>11457.1441545695</v>
      </c>
      <c r="M208" s="14" t="n">
        <v>0</v>
      </c>
      <c r="N208" s="4" t="n">
        <v>1</v>
      </c>
      <c r="O208" s="3" t="str">
        <f aca="false">IF(AND(B208=4,M208=1),IF(N208&lt;0.8,"Subgrupo 7 dias; fronteira de cluster","Subgrupo 7 dias"),IF(N208&lt;0.8,"Fronteira de cluster",""))</f>
        <v/>
      </c>
    </row>
    <row r="209" customFormat="false" ht="15" hidden="false" customHeight="false" outlineLevel="0" collapsed="false">
      <c r="A209" s="14" t="n">
        <v>208</v>
      </c>
      <c r="B209" s="14" t="n">
        <v>0</v>
      </c>
      <c r="C209" s="14" t="s">
        <v>29</v>
      </c>
      <c r="D209" s="15" t="n">
        <v>2936.29081632653</v>
      </c>
      <c r="E209" s="16" t="n">
        <f aca="false">INDEX(Parâmetros!$C$33:$C$37,MATCH(B209,Parâmetros!$A$33:$A$37,0))</f>
        <v>5476.37033462034</v>
      </c>
      <c r="F209" s="7" t="n">
        <f aca="false">MAX(0,(E209-D209)/D209)</f>
        <v>0.865064013472477</v>
      </c>
      <c r="G209" s="7" t="n">
        <f aca="false">MIN(K209*Parâmetros!$B$19,Parâmetros!$B$8)</f>
        <v>0.2</v>
      </c>
      <c r="H209" s="3" t="str">
        <f aca="false">IF(F209&gt;=Parâmetros!$B$6,"Ação","Acompanhamento")</f>
        <v>Ação</v>
      </c>
      <c r="I209" s="17" t="n">
        <v>303.779193205945</v>
      </c>
      <c r="J209" s="11" t="n">
        <f aca="false">D209*I209</f>
        <v>891984.055201699</v>
      </c>
      <c r="K209" s="7" t="n">
        <f aca="false">Parâmetros!$B$4+Parâmetros!$B$5*F209</f>
        <v>0.236266003368119</v>
      </c>
      <c r="L209" s="11" t="n">
        <f aca="false">D209*(1+G209)</f>
        <v>3523.54897959184</v>
      </c>
      <c r="M209" s="14" t="n">
        <v>0</v>
      </c>
      <c r="N209" s="4" t="n">
        <v>1</v>
      </c>
      <c r="O209" s="3" t="str">
        <f aca="false">IF(AND(B209=4,M209=1),IF(N209&lt;0.8,"Subgrupo 7 dias; fronteira de cluster","Subgrupo 7 dias"),IF(N209&lt;0.8,"Fronteira de cluster",""))</f>
        <v/>
      </c>
    </row>
    <row r="210" customFormat="false" ht="15" hidden="false" customHeight="false" outlineLevel="0" collapsed="false">
      <c r="A210" s="14" t="n">
        <v>209</v>
      </c>
      <c r="B210" s="14" t="n">
        <v>2</v>
      </c>
      <c r="C210" s="14" t="s">
        <v>31</v>
      </c>
      <c r="D210" s="15" t="n">
        <v>5587.78231292517</v>
      </c>
      <c r="E210" s="16" t="n">
        <f aca="false">INDEX(Parâmetros!$C$33:$C$37,MATCH(B210,Parâmetros!$A$33:$A$37,0))</f>
        <v>6324.80102695764</v>
      </c>
      <c r="F210" s="7" t="n">
        <f aca="false">MAX(0,(E210-D210)/D210)</f>
        <v>0.131898250998014</v>
      </c>
      <c r="G210" s="7" t="n">
        <f aca="false">MIN(K210*Parâmetros!$B$19,Parâmetros!$B$8)</f>
        <v>0.0646391217381503</v>
      </c>
      <c r="H210" s="3" t="str">
        <f aca="false">IF(F210&gt;=Parâmetros!$B$6,"Ação","Acompanhamento")</f>
        <v>Ação</v>
      </c>
      <c r="I210" s="17" t="n">
        <v>341.751592356688</v>
      </c>
      <c r="J210" s="11" t="n">
        <f aca="false">D210*I210</f>
        <v>1909633.50318471</v>
      </c>
      <c r="K210" s="7" t="n">
        <f aca="false">Parâmetros!$B$4+Parâmetros!$B$5*F210</f>
        <v>0.0529745627495035</v>
      </c>
      <c r="L210" s="11" t="n">
        <f aca="false">D210*(1+G210)</f>
        <v>5948.97165409662</v>
      </c>
      <c r="M210" s="14" t="n">
        <v>1</v>
      </c>
      <c r="N210" s="4" t="n">
        <v>0.9125</v>
      </c>
      <c r="O210" s="3" t="str">
        <f aca="false">IF(AND(B210=4,M210=1),IF(N210&lt;0.8,"Subgrupo 7 dias; fronteira de cluster","Subgrupo 7 dias"),IF(N210&lt;0.8,"Fronteira de cluster",""))</f>
        <v/>
      </c>
    </row>
    <row r="211" customFormat="false" ht="15" hidden="false" customHeight="false" outlineLevel="0" collapsed="false">
      <c r="A211" s="14" t="n">
        <v>210</v>
      </c>
      <c r="B211" s="14" t="n">
        <v>0</v>
      </c>
      <c r="C211" s="14" t="s">
        <v>29</v>
      </c>
      <c r="D211" s="15" t="n">
        <v>3193.98459563543</v>
      </c>
      <c r="E211" s="16" t="n">
        <f aca="false">INDEX(Parâmetros!$C$33:$C$37,MATCH(B211,Parâmetros!$A$33:$A$37,0))</f>
        <v>5476.37033462034</v>
      </c>
      <c r="F211" s="7" t="n">
        <f aca="false">MAX(0,(E211-D211)/D211)</f>
        <v>0.714588837436404</v>
      </c>
      <c r="G211" s="7" t="n">
        <f aca="false">MIN(K211*Parâmetros!$B$19,Parâmetros!$B$8)</f>
        <v>0.2</v>
      </c>
      <c r="H211" s="3" t="str">
        <f aca="false">IF(F211&gt;=Parâmetros!$B$6,"Ação","Acompanhamento")</f>
        <v>Ação</v>
      </c>
      <c r="I211" s="17" t="n">
        <v>301.841825902336</v>
      </c>
      <c r="J211" s="11" t="n">
        <f aca="false">D211*I211</f>
        <v>964078.142250531</v>
      </c>
      <c r="K211" s="7" t="n">
        <f aca="false">Parâmetros!$B$4+Parâmetros!$B$5*F211</f>
        <v>0.198647209359101</v>
      </c>
      <c r="L211" s="11" t="n">
        <f aca="false">D211*(1+G211)</f>
        <v>3832.78151476252</v>
      </c>
      <c r="M211" s="14" t="n">
        <v>0</v>
      </c>
      <c r="N211" s="4" t="n">
        <v>1</v>
      </c>
      <c r="O211" s="3" t="str">
        <f aca="false">IF(AND(B211=4,M211=1),IF(N211&lt;0.8,"Subgrupo 7 dias; fronteira de cluster","Subgrupo 7 dias"),IF(N211&lt;0.8,"Fronteira de cluster",""))</f>
        <v/>
      </c>
    </row>
    <row r="212" customFormat="false" ht="15" hidden="false" customHeight="false" outlineLevel="0" collapsed="false">
      <c r="A212" s="14" t="n">
        <v>211</v>
      </c>
      <c r="B212" s="14" t="n">
        <v>4</v>
      </c>
      <c r="C212" s="14" t="s">
        <v>33</v>
      </c>
      <c r="D212" s="15" t="n">
        <v>12994.3456632653</v>
      </c>
      <c r="E212" s="16" t="n">
        <f aca="false">INDEX(Parâmetros!$C$33:$C$37,MATCH(B212,Parâmetros!$A$33:$A$37,0))</f>
        <v>8837.10512820513</v>
      </c>
      <c r="F212" s="7" t="n">
        <f aca="false">MAX(0,(E212-D212)/D212)</f>
        <v>0</v>
      </c>
      <c r="G212" s="7" t="n">
        <f aca="false">MIN(K212*Parâmetros!$B$19,Parâmetros!$B$8)</f>
        <v>0.0244038339849275</v>
      </c>
      <c r="H212" s="3" t="str">
        <f aca="false">IF(F212&gt;=Parâmetros!$B$6,"Ação","Acompanhamento")</f>
        <v>Acompanhamento</v>
      </c>
      <c r="I212" s="17" t="n">
        <v>303.779193205945</v>
      </c>
      <c r="J212" s="11" t="n">
        <f aca="false">D212*I212</f>
        <v>3947411.8418259</v>
      </c>
      <c r="K212" s="7" t="n">
        <f aca="false">Parâmetros!$B$4+Parâmetros!$B$5*F212</f>
        <v>0.02</v>
      </c>
      <c r="L212" s="11" t="n">
        <f aca="false">D212*(1+G212)</f>
        <v>13311.4575175744</v>
      </c>
      <c r="M212" s="14" t="n">
        <v>0</v>
      </c>
      <c r="N212" s="4" t="n">
        <v>1</v>
      </c>
      <c r="O212" s="3" t="str">
        <f aca="false">IF(AND(B212=4,M212=1),IF(N212&lt;0.8,"Subgrupo 7 dias; fronteira de cluster","Subgrupo 7 dias"),IF(N212&lt;0.8,"Fronteira de cluster",""))</f>
        <v/>
      </c>
    </row>
    <row r="213" customFormat="false" ht="15" hidden="false" customHeight="false" outlineLevel="0" collapsed="false">
      <c r="A213" s="14" t="n">
        <v>212</v>
      </c>
      <c r="B213" s="14" t="n">
        <v>1</v>
      </c>
      <c r="C213" s="14" t="s">
        <v>30</v>
      </c>
      <c r="D213" s="15" t="n">
        <v>4775.6568877551</v>
      </c>
      <c r="E213" s="16" t="n">
        <f aca="false">INDEX(Parâmetros!$C$33:$C$37,MATCH(B213,Parâmetros!$A$33:$A$37,0))</f>
        <v>6959.92435130262</v>
      </c>
      <c r="F213" s="7" t="n">
        <f aca="false">MAX(0,(E213-D213)/D213)</f>
        <v>0.45737529200392</v>
      </c>
      <c r="G213" s="7" t="n">
        <f aca="false">MIN(K213*Parâmetros!$B$19,Parâmetros!$B$8)</f>
        <v>0.16392521767082</v>
      </c>
      <c r="H213" s="3" t="str">
        <f aca="false">IF(F213&gt;=Parâmetros!$B$6,"Ação","Acompanhamento")</f>
        <v>Ação</v>
      </c>
      <c r="I213" s="17" t="n">
        <v>303.779193205945</v>
      </c>
      <c r="J213" s="11" t="n">
        <f aca="false">D213*I213</f>
        <v>1450745.19639066</v>
      </c>
      <c r="K213" s="7" t="n">
        <f aca="false">Parâmetros!$B$4+Parâmetros!$B$5*F213</f>
        <v>0.13434382300098</v>
      </c>
      <c r="L213" s="11" t="n">
        <f aca="false">D213*(1+G213)</f>
        <v>5558.50748260151</v>
      </c>
      <c r="M213" s="14" t="n">
        <v>0</v>
      </c>
      <c r="N213" s="4" t="n">
        <v>1</v>
      </c>
      <c r="O213" s="3" t="str">
        <f aca="false">IF(AND(B213=4,M213=1),IF(N213&lt;0.8,"Subgrupo 7 dias; fronteira de cluster","Subgrupo 7 dias"),IF(N213&lt;0.8,"Fronteira de cluster",""))</f>
        <v/>
      </c>
    </row>
    <row r="214" customFormat="false" ht="15" hidden="false" customHeight="false" outlineLevel="0" collapsed="false">
      <c r="A214" s="14" t="n">
        <v>213</v>
      </c>
      <c r="B214" s="14" t="n">
        <v>1</v>
      </c>
      <c r="C214" s="14" t="s">
        <v>30</v>
      </c>
      <c r="D214" s="15" t="n">
        <v>8131.04107830552</v>
      </c>
      <c r="E214" s="16" t="n">
        <f aca="false">INDEX(Parâmetros!$C$33:$C$37,MATCH(B214,Parâmetros!$A$33:$A$37,0))</f>
        <v>6959.92435130262</v>
      </c>
      <c r="F214" s="7" t="n">
        <f aca="false">MAX(0,(E214-D214)/D214)</f>
        <v>0</v>
      </c>
      <c r="G214" s="7" t="n">
        <f aca="false">MIN(K214*Parâmetros!$B$19,Parâmetros!$B$8)</f>
        <v>0.0244038339849275</v>
      </c>
      <c r="H214" s="3" t="str">
        <f aca="false">IF(F214&gt;=Parâmetros!$B$6,"Ação","Acompanhamento")</f>
        <v>Acompanhamento</v>
      </c>
      <c r="I214" s="17" t="n">
        <v>301.841825902336</v>
      </c>
      <c r="J214" s="11" t="n">
        <f aca="false">D214*I214</f>
        <v>2454288.28556263</v>
      </c>
      <c r="K214" s="7" t="n">
        <f aca="false">Parâmetros!$B$4+Parâmetros!$B$5*F214</f>
        <v>0.02</v>
      </c>
      <c r="L214" s="11" t="n">
        <f aca="false">D214*(1+G214)</f>
        <v>8329.46965490511</v>
      </c>
      <c r="M214" s="14" t="n">
        <v>0</v>
      </c>
      <c r="N214" s="4" t="n">
        <v>1</v>
      </c>
      <c r="O214" s="3" t="str">
        <f aca="false">IF(AND(B214=4,M214=1),IF(N214&lt;0.8,"Subgrupo 7 dias; fronteira de cluster","Subgrupo 7 dias"),IF(N214&lt;0.8,"Fronteira de cluster",""))</f>
        <v/>
      </c>
    </row>
    <row r="215" customFormat="false" ht="15" hidden="false" customHeight="false" outlineLevel="0" collapsed="false">
      <c r="A215" s="14" t="n">
        <v>214</v>
      </c>
      <c r="B215" s="14" t="n">
        <v>1</v>
      </c>
      <c r="C215" s="14" t="s">
        <v>30</v>
      </c>
      <c r="D215" s="15" t="n">
        <v>9331.87548138639</v>
      </c>
      <c r="E215" s="16" t="n">
        <f aca="false">INDEX(Parâmetros!$C$33:$C$37,MATCH(B215,Parâmetros!$A$33:$A$37,0))</f>
        <v>6959.92435130262</v>
      </c>
      <c r="F215" s="7" t="n">
        <f aca="false">MAX(0,(E215-D215)/D215)</f>
        <v>0</v>
      </c>
      <c r="G215" s="7" t="n">
        <f aca="false">MIN(K215*Parâmetros!$B$19,Parâmetros!$B$8)</f>
        <v>0.0244038339849275</v>
      </c>
      <c r="H215" s="3" t="str">
        <f aca="false">IF(F215&gt;=Parâmetros!$B$6,"Ação","Acompanhamento")</f>
        <v>Acompanhamento</v>
      </c>
      <c r="I215" s="17" t="n">
        <v>301.841825902336</v>
      </c>
      <c r="J215" s="11" t="n">
        <f aca="false">D215*I215</f>
        <v>2816750.3343949</v>
      </c>
      <c r="K215" s="7" t="n">
        <f aca="false">Parâmetros!$B$4+Parâmetros!$B$5*F215</f>
        <v>0.02</v>
      </c>
      <c r="L215" s="11" t="n">
        <f aca="false">D215*(1+G215)</f>
        <v>9559.60902140216</v>
      </c>
      <c r="M215" s="14" t="n">
        <v>0</v>
      </c>
      <c r="N215" s="4" t="n">
        <v>1</v>
      </c>
      <c r="O215" s="3" t="str">
        <f aca="false">IF(AND(B215=4,M215=1),IF(N215&lt;0.8,"Subgrupo 7 dias; fronteira de cluster","Subgrupo 7 dias"),IF(N215&lt;0.8,"Fronteira de cluster",""))</f>
        <v/>
      </c>
    </row>
    <row r="216" customFormat="false" ht="15" hidden="false" customHeight="false" outlineLevel="0" collapsed="false">
      <c r="A216" s="14" t="n">
        <v>215</v>
      </c>
      <c r="B216" s="14" t="n">
        <v>0</v>
      </c>
      <c r="C216" s="14" t="s">
        <v>29</v>
      </c>
      <c r="D216" s="15" t="n">
        <v>6313.49275362319</v>
      </c>
      <c r="E216" s="16" t="n">
        <f aca="false">INDEX(Parâmetros!$C$33:$C$37,MATCH(B216,Parâmetros!$A$33:$A$37,0))</f>
        <v>5476.37033462034</v>
      </c>
      <c r="F216" s="7" t="n">
        <f aca="false">MAX(0,(E216-D216)/D216)</f>
        <v>0</v>
      </c>
      <c r="G216" s="7" t="n">
        <f aca="false">MIN(K216*Parâmetros!$B$19,Parâmetros!$B$8)</f>
        <v>0.0244038339849275</v>
      </c>
      <c r="H216" s="3" t="str">
        <f aca="false">IF(F216&gt;=Parâmetros!$B$6,"Ação","Acompanhamento")</f>
        <v>Acompanhamento</v>
      </c>
      <c r="I216" s="17" t="n">
        <v>299.030343007916</v>
      </c>
      <c r="J216" s="11" t="n">
        <f aca="false">D216*I216</f>
        <v>1887925.90369393</v>
      </c>
      <c r="K216" s="7" t="n">
        <f aca="false">Parâmetros!$B$4+Parâmetros!$B$5*F216</f>
        <v>0.02</v>
      </c>
      <c r="L216" s="11" t="n">
        <f aca="false">D216*(1+G216)</f>
        <v>6467.56618264765</v>
      </c>
      <c r="M216" s="14" t="n">
        <v>0</v>
      </c>
      <c r="N216" s="4" t="n">
        <v>0.987654320987654</v>
      </c>
      <c r="O216" s="3" t="str">
        <f aca="false">IF(AND(B216=4,M216=1),IF(N216&lt;0.8,"Subgrupo 7 dias; fronteira de cluster","Subgrupo 7 dias"),IF(N216&lt;0.8,"Fronteira de cluster",""))</f>
        <v/>
      </c>
    </row>
    <row r="217" customFormat="false" ht="15" hidden="false" customHeight="false" outlineLevel="0" collapsed="false">
      <c r="A217" s="14" t="n">
        <v>216</v>
      </c>
      <c r="B217" s="14" t="n">
        <v>0</v>
      </c>
      <c r="C217" s="14" t="s">
        <v>29</v>
      </c>
      <c r="D217" s="15" t="n">
        <v>7226.77577319588</v>
      </c>
      <c r="E217" s="16" t="n">
        <f aca="false">INDEX(Parâmetros!$C$33:$C$37,MATCH(B217,Parâmetros!$A$33:$A$37,0))</f>
        <v>5476.37033462034</v>
      </c>
      <c r="F217" s="7" t="n">
        <f aca="false">MAX(0,(E217-D217)/D217)</f>
        <v>0</v>
      </c>
      <c r="G217" s="7" t="n">
        <f aca="false">MIN(K217*Parâmetros!$B$19,Parâmetros!$B$8)</f>
        <v>0.0244038339849275</v>
      </c>
      <c r="H217" s="3" t="str">
        <f aca="false">IF(F217&gt;=Parâmetros!$B$6,"Ação","Acompanhamento")</f>
        <v>Acompanhamento</v>
      </c>
      <c r="I217" s="17" t="n">
        <v>300.67940552017</v>
      </c>
      <c r="J217" s="11" t="n">
        <f aca="false">D217*I217</f>
        <v>2172942.6433121</v>
      </c>
      <c r="K217" s="7" t="n">
        <f aca="false">Parâmetros!$B$4+Parâmetros!$B$5*F217</f>
        <v>0.02</v>
      </c>
      <c r="L217" s="11" t="n">
        <f aca="false">D217*(1+G217)</f>
        <v>7403.13680941125</v>
      </c>
      <c r="M217" s="14" t="n">
        <v>0</v>
      </c>
      <c r="N217" s="4" t="n">
        <v>0.9</v>
      </c>
      <c r="O217" s="3" t="str">
        <f aca="false">IF(AND(B217=4,M217=1),IF(N217&lt;0.8,"Subgrupo 7 dias; fronteira de cluster","Subgrupo 7 dias"),IF(N217&lt;0.8,"Fronteira de cluster",""))</f>
        <v/>
      </c>
    </row>
    <row r="218" customFormat="false" ht="15" hidden="false" customHeight="false" outlineLevel="0" collapsed="false">
      <c r="A218" s="14" t="n">
        <v>217</v>
      </c>
      <c r="B218" s="14" t="n">
        <v>0</v>
      </c>
      <c r="C218" s="14" t="s">
        <v>29</v>
      </c>
      <c r="D218" s="15" t="n">
        <v>4700.88775510204</v>
      </c>
      <c r="E218" s="16" t="n">
        <f aca="false">INDEX(Parâmetros!$C$33:$C$37,MATCH(B218,Parâmetros!$A$33:$A$37,0))</f>
        <v>5476.37033462034</v>
      </c>
      <c r="F218" s="7" t="n">
        <f aca="false">MAX(0,(E218-D218)/D218)</f>
        <v>0.164965134229515</v>
      </c>
      <c r="G218" s="7" t="n">
        <f aca="false">MIN(K218*Parâmetros!$B$19,Parâmetros!$B$8)</f>
        <v>0.074726105847907</v>
      </c>
      <c r="H218" s="3" t="str">
        <f aca="false">IF(F218&gt;=Parâmetros!$B$6,"Ação","Acompanhamento")</f>
        <v>Ação</v>
      </c>
      <c r="I218" s="17" t="n">
        <v>303.779193205945</v>
      </c>
      <c r="J218" s="11" t="n">
        <f aca="false">D218*I218</f>
        <v>1428031.8895966</v>
      </c>
      <c r="K218" s="7" t="n">
        <f aca="false">Parâmetros!$B$4+Parâmetros!$B$5*F218</f>
        <v>0.0612412835573788</v>
      </c>
      <c r="L218" s="11" t="n">
        <f aca="false">D218*(1+G218)</f>
        <v>5052.16679106893</v>
      </c>
      <c r="M218" s="14" t="n">
        <v>0</v>
      </c>
      <c r="N218" s="4" t="n">
        <v>0.7625</v>
      </c>
      <c r="O218" s="3" t="str">
        <f aca="false">IF(AND(B218=4,M218=1),IF(N218&lt;0.8,"Subgrupo 7 dias; fronteira de cluster","Subgrupo 7 dias"),IF(N218&lt;0.8,"Fronteira de cluster",""))</f>
        <v>Fronteira de cluster</v>
      </c>
    </row>
    <row r="219" customFormat="false" ht="15" hidden="false" customHeight="false" outlineLevel="0" collapsed="false">
      <c r="A219" s="14" t="n">
        <v>218</v>
      </c>
      <c r="B219" s="14" t="n">
        <v>0</v>
      </c>
      <c r="C219" s="14" t="s">
        <v>29</v>
      </c>
      <c r="D219" s="15" t="n">
        <v>5018.57717041801</v>
      </c>
      <c r="E219" s="16" t="n">
        <f aca="false">INDEX(Parâmetros!$C$33:$C$37,MATCH(B219,Parâmetros!$A$33:$A$37,0))</f>
        <v>5476.37033462034</v>
      </c>
      <c r="F219" s="7" t="n">
        <f aca="false">MAX(0,(E219-D219)/D219)</f>
        <v>0.091219712013355</v>
      </c>
      <c r="G219" s="7" t="n">
        <f aca="false">MIN(K219*Parâmetros!$B$19,Parâmetros!$B$8)</f>
        <v>0.0522302178365125</v>
      </c>
      <c r="H219" s="3" t="str">
        <f aca="false">IF(F219&gt;=Parâmetros!$B$6,"Ação","Acompanhamento")</f>
        <v>Acompanhamento</v>
      </c>
      <c r="I219" s="17" t="n">
        <v>299.511873350924</v>
      </c>
      <c r="J219" s="11" t="n">
        <f aca="false">D219*I219</f>
        <v>1503123.44986807</v>
      </c>
      <c r="K219" s="7" t="n">
        <f aca="false">Parâmetros!$B$4+Parâmetros!$B$5*F219</f>
        <v>0.0428049280033388</v>
      </c>
      <c r="L219" s="11" t="n">
        <f aca="false">D219*(1+G219)</f>
        <v>5280.69854925829</v>
      </c>
      <c r="M219" s="14" t="n">
        <v>0</v>
      </c>
      <c r="N219" s="4" t="n">
        <v>1</v>
      </c>
      <c r="O219" s="3" t="str">
        <f aca="false">IF(AND(B219=4,M219=1),IF(N219&lt;0.8,"Subgrupo 7 dias; fronteira de cluster","Subgrupo 7 dias"),IF(N219&lt;0.8,"Fronteira de cluster",""))</f>
        <v/>
      </c>
    </row>
    <row r="220" customFormat="false" ht="15" hidden="false" customHeight="false" outlineLevel="0" collapsed="false">
      <c r="A220" s="14" t="n">
        <v>219</v>
      </c>
      <c r="B220" s="14" t="n">
        <v>0</v>
      </c>
      <c r="C220" s="14" t="s">
        <v>29</v>
      </c>
      <c r="D220" s="15" t="n">
        <v>3133.71245186136</v>
      </c>
      <c r="E220" s="16" t="n">
        <f aca="false">INDEX(Parâmetros!$C$33:$C$37,MATCH(B220,Parâmetros!$A$33:$A$37,0))</f>
        <v>5476.37033462034</v>
      </c>
      <c r="F220" s="7" t="n">
        <f aca="false">MAX(0,(E220-D220)/D220)</f>
        <v>0.747566319101002</v>
      </c>
      <c r="G220" s="7" t="n">
        <f aca="false">MIN(K220*Parâmetros!$B$19,Parâmetros!$B$8)</f>
        <v>0.2</v>
      </c>
      <c r="H220" s="3" t="str">
        <f aca="false">IF(F220&gt;=Parâmetros!$B$6,"Ação","Acompanhamento")</f>
        <v>Ação</v>
      </c>
      <c r="I220" s="17" t="n">
        <v>301.841825902336</v>
      </c>
      <c r="J220" s="11" t="n">
        <f aca="false">D220*I220</f>
        <v>945885.488322718</v>
      </c>
      <c r="K220" s="7" t="n">
        <f aca="false">Parâmetros!$B$4+Parâmetros!$B$5*F220</f>
        <v>0.206891579775251</v>
      </c>
      <c r="L220" s="11" t="n">
        <f aca="false">D220*(1+G220)</f>
        <v>3760.45494223363</v>
      </c>
      <c r="M220" s="14" t="n">
        <v>0</v>
      </c>
      <c r="N220" s="4" t="n">
        <v>1</v>
      </c>
      <c r="O220" s="3" t="str">
        <f aca="false">IF(AND(B220=4,M220=1),IF(N220&lt;0.8,"Subgrupo 7 dias; fronteira de cluster","Subgrupo 7 dias"),IF(N220&lt;0.8,"Fronteira de cluster",""))</f>
        <v/>
      </c>
    </row>
    <row r="221" customFormat="false" ht="15" hidden="false" customHeight="false" outlineLevel="0" collapsed="false">
      <c r="A221" s="14" t="n">
        <v>220</v>
      </c>
      <c r="B221" s="14" t="n">
        <v>0</v>
      </c>
      <c r="C221" s="14" t="s">
        <v>29</v>
      </c>
      <c r="D221" s="15" t="n">
        <v>4906.43298969072</v>
      </c>
      <c r="E221" s="16" t="n">
        <f aca="false">INDEX(Parâmetros!$C$33:$C$37,MATCH(B221,Parâmetros!$A$33:$A$37,0))</f>
        <v>5476.37033462034</v>
      </c>
      <c r="F221" s="7" t="n">
        <f aca="false">MAX(0,(E221-D221)/D221)</f>
        <v>0.116161240992622</v>
      </c>
      <c r="G221" s="7" t="n">
        <f aca="false">MIN(K221*Parâmetros!$B$19,Parâmetros!$B$8)</f>
        <v>0.059838579493266</v>
      </c>
      <c r="H221" s="3" t="str">
        <f aca="false">IF(F221&gt;=Parâmetros!$B$6,"Ação","Acompanhamento")</f>
        <v>Ação</v>
      </c>
      <c r="I221" s="17" t="n">
        <v>300.67940552017</v>
      </c>
      <c r="J221" s="11" t="n">
        <f aca="false">D221*I221</f>
        <v>1475263.35456476</v>
      </c>
      <c r="K221" s="7" t="n">
        <f aca="false">Parâmetros!$B$4+Parâmetros!$B$5*F221</f>
        <v>0.0490403102481554</v>
      </c>
      <c r="L221" s="11" t="n">
        <f aca="false">D221*(1+G221)</f>
        <v>5200.02697017271</v>
      </c>
      <c r="M221" s="14" t="n">
        <v>0</v>
      </c>
      <c r="N221" s="4" t="n">
        <v>1</v>
      </c>
      <c r="O221" s="3" t="str">
        <f aca="false">IF(AND(B221=4,M221=1),IF(N221&lt;0.8,"Subgrupo 7 dias; fronteira de cluster","Subgrupo 7 dias"),IF(N221&lt;0.8,"Fronteira de cluster",""))</f>
        <v/>
      </c>
    </row>
    <row r="222" customFormat="false" ht="15" hidden="false" customHeight="false" outlineLevel="0" collapsed="false">
      <c r="A222" s="14" t="n">
        <v>221</v>
      </c>
      <c r="B222" s="14" t="n">
        <v>1</v>
      </c>
      <c r="C222" s="14" t="s">
        <v>30</v>
      </c>
      <c r="D222" s="15" t="n">
        <v>5821.83801020408</v>
      </c>
      <c r="E222" s="16" t="n">
        <f aca="false">INDEX(Parâmetros!$C$33:$C$37,MATCH(B222,Parâmetros!$A$33:$A$37,0))</f>
        <v>6959.92435130262</v>
      </c>
      <c r="F222" s="7" t="n">
        <f aca="false">MAX(0,(E222-D222)/D222)</f>
        <v>0.195485745069476</v>
      </c>
      <c r="G222" s="7" t="n">
        <f aca="false">MIN(K222*Parâmetros!$B$19,Parâmetros!$B$8)</f>
        <v>0.0840363548486192</v>
      </c>
      <c r="H222" s="3" t="str">
        <f aca="false">IF(F222&gt;=Parâmetros!$B$6,"Ação","Acompanhamento")</f>
        <v>Ação</v>
      </c>
      <c r="I222" s="17" t="n">
        <v>303.779193205945</v>
      </c>
      <c r="J222" s="11" t="n">
        <f aca="false">D222*I222</f>
        <v>1768553.2537155</v>
      </c>
      <c r="K222" s="7" t="n">
        <f aca="false">Parâmetros!$B$4+Parâmetros!$B$5*F222</f>
        <v>0.068871436267369</v>
      </c>
      <c r="L222" s="11" t="n">
        <f aca="false">D222*(1+G222)</f>
        <v>6311.08405510077</v>
      </c>
      <c r="M222" s="14" t="n">
        <v>0</v>
      </c>
      <c r="N222" s="4" t="n">
        <v>1</v>
      </c>
      <c r="O222" s="3" t="str">
        <f aca="false">IF(AND(B222=4,M222=1),IF(N222&lt;0.8,"Subgrupo 7 dias; fronteira de cluster","Subgrupo 7 dias"),IF(N222&lt;0.8,"Fronteira de cluster",""))</f>
        <v/>
      </c>
    </row>
    <row r="223" customFormat="false" ht="15" hidden="false" customHeight="false" outlineLevel="0" collapsed="false">
      <c r="A223" s="14" t="n">
        <v>222</v>
      </c>
      <c r="B223" s="14" t="n">
        <v>0</v>
      </c>
      <c r="C223" s="14" t="s">
        <v>29</v>
      </c>
      <c r="D223" s="15" t="n">
        <v>4982.45663265306</v>
      </c>
      <c r="E223" s="16" t="n">
        <f aca="false">INDEX(Parâmetros!$C$33:$C$37,MATCH(B223,Parâmetros!$A$33:$A$37,0))</f>
        <v>5476.37033462034</v>
      </c>
      <c r="F223" s="7" t="n">
        <f aca="false">MAX(0,(E223-D223)/D223)</f>
        <v>0.0991305571493302</v>
      </c>
      <c r="G223" s="7" t="n">
        <f aca="false">MIN(K223*Parâmetros!$B$19,Parâmetros!$B$8)</f>
        <v>0.0546434047287477</v>
      </c>
      <c r="H223" s="3" t="str">
        <f aca="false">IF(F223&gt;=Parâmetros!$B$6,"Ação","Acompanhamento")</f>
        <v>Acompanhamento</v>
      </c>
      <c r="I223" s="17" t="n">
        <v>303.779193205945</v>
      </c>
      <c r="J223" s="11" t="n">
        <f aca="false">D223*I223</f>
        <v>1513566.65605096</v>
      </c>
      <c r="K223" s="7" t="n">
        <f aca="false">Parâmetros!$B$4+Parâmetros!$B$5*F223</f>
        <v>0.0447826392873325</v>
      </c>
      <c r="L223" s="11" t="n">
        <f aca="false">D223*(1+G223)</f>
        <v>5254.71502697456</v>
      </c>
      <c r="M223" s="14" t="n">
        <v>0</v>
      </c>
      <c r="N223" s="4" t="n">
        <v>1</v>
      </c>
      <c r="O223" s="3" t="str">
        <f aca="false">IF(AND(B223=4,M223=1),IF(N223&lt;0.8,"Subgrupo 7 dias; fronteira de cluster","Subgrupo 7 dias"),IF(N223&lt;0.8,"Fronteira de cluster",""))</f>
        <v/>
      </c>
    </row>
    <row r="224" customFormat="false" ht="15" hidden="false" customHeight="false" outlineLevel="0" collapsed="false">
      <c r="A224" s="14" t="n">
        <v>223</v>
      </c>
      <c r="B224" s="14" t="n">
        <v>1</v>
      </c>
      <c r="C224" s="14" t="s">
        <v>30</v>
      </c>
      <c r="D224" s="15" t="n">
        <v>7232.87595907928</v>
      </c>
      <c r="E224" s="16" t="n">
        <f aca="false">INDEX(Parâmetros!$C$33:$C$37,MATCH(B224,Parâmetros!$A$33:$A$37,0))</f>
        <v>6959.92435130262</v>
      </c>
      <c r="F224" s="7" t="n">
        <f aca="false">MAX(0,(E224-D224)/D224)</f>
        <v>0</v>
      </c>
      <c r="G224" s="7" t="n">
        <f aca="false">MIN(K224*Parâmetros!$B$19,Parâmetros!$B$8)</f>
        <v>0.0244038339849275</v>
      </c>
      <c r="H224" s="3" t="str">
        <f aca="false">IF(F224&gt;=Parâmetros!$B$6,"Ação","Acompanhamento")</f>
        <v>Acompanhamento</v>
      </c>
      <c r="I224" s="17" t="n">
        <v>303.004246284501</v>
      </c>
      <c r="J224" s="11" t="n">
        <f aca="false">D224*I224</f>
        <v>2191592.12845011</v>
      </c>
      <c r="K224" s="7" t="n">
        <f aca="false">Parâmetros!$B$4+Parâmetros!$B$5*F224</f>
        <v>0.02</v>
      </c>
      <c r="L224" s="11" t="n">
        <f aca="false">D224*(1+G224)</f>
        <v>7409.38586321823</v>
      </c>
      <c r="M224" s="14" t="n">
        <v>0</v>
      </c>
      <c r="N224" s="4" t="n">
        <v>1</v>
      </c>
      <c r="O224" s="3" t="str">
        <f aca="false">IF(AND(B224=4,M224=1),IF(N224&lt;0.8,"Subgrupo 7 dias; fronteira de cluster","Subgrupo 7 dias"),IF(N224&lt;0.8,"Fronteira de cluster",""))</f>
        <v/>
      </c>
    </row>
    <row r="225" customFormat="false" ht="15" hidden="false" customHeight="false" outlineLevel="0" collapsed="false">
      <c r="A225" s="14" t="n">
        <v>224</v>
      </c>
      <c r="B225" s="14" t="n">
        <v>1</v>
      </c>
      <c r="C225" s="14" t="s">
        <v>30</v>
      </c>
      <c r="D225" s="15" t="n">
        <v>6629.74903474904</v>
      </c>
      <c r="E225" s="16" t="n">
        <f aca="false">INDEX(Parâmetros!$C$33:$C$37,MATCH(B225,Parâmetros!$A$33:$A$37,0))</f>
        <v>6959.92435130262</v>
      </c>
      <c r="F225" s="7" t="n">
        <f aca="false">MAX(0,(E225-D225)/D225)</f>
        <v>0.0498020837324327</v>
      </c>
      <c r="G225" s="7" t="n">
        <f aca="false">MIN(K225*Parâmetros!$B$19,Parâmetros!$B$8)</f>
        <v>0.0395958562787993</v>
      </c>
      <c r="H225" s="3" t="str">
        <f aca="false">IF(F225&gt;=Parâmetros!$B$6,"Ação","Acompanhamento")</f>
        <v>Acompanhamento</v>
      </c>
      <c r="I225" s="17" t="n">
        <v>301.066878980892</v>
      </c>
      <c r="J225" s="11" t="n">
        <f aca="false">D225*I225</f>
        <v>1995997.85031847</v>
      </c>
      <c r="K225" s="7" t="n">
        <f aca="false">Parâmetros!$B$4+Parâmetros!$B$5*F225</f>
        <v>0.0324505209331082</v>
      </c>
      <c r="L225" s="11" t="n">
        <f aca="false">D225*(1+G225)</f>
        <v>6892.25962469347</v>
      </c>
      <c r="M225" s="14" t="n">
        <v>0</v>
      </c>
      <c r="N225" s="4" t="n">
        <v>1</v>
      </c>
      <c r="O225" s="3" t="str">
        <f aca="false">IF(AND(B225=4,M225=1),IF(N225&lt;0.8,"Subgrupo 7 dias; fronteira de cluster","Subgrupo 7 dias"),IF(N225&lt;0.8,"Fronteira de cluster",""))</f>
        <v/>
      </c>
    </row>
    <row r="226" customFormat="false" ht="15" hidden="false" customHeight="false" outlineLevel="0" collapsed="false">
      <c r="A226" s="14" t="n">
        <v>225</v>
      </c>
      <c r="B226" s="14" t="n">
        <v>1</v>
      </c>
      <c r="C226" s="14" t="s">
        <v>30</v>
      </c>
      <c r="D226" s="15" t="n">
        <v>5197</v>
      </c>
      <c r="E226" s="16" t="n">
        <f aca="false">INDEX(Parâmetros!$C$33:$C$37,MATCH(B226,Parâmetros!$A$33:$A$37,0))</f>
        <v>6959.92435130262</v>
      </c>
      <c r="F226" s="7" t="n">
        <f aca="false">MAX(0,(E226-D226)/D226)</f>
        <v>0.33921961733743</v>
      </c>
      <c r="G226" s="7" t="n">
        <f aca="false">MIN(K226*Parâmetros!$B$19,Parâmetros!$B$8)</f>
        <v>0.127882074309093</v>
      </c>
      <c r="H226" s="3" t="str">
        <f aca="false">IF(F226&gt;=Parâmetros!$B$6,"Ação","Acompanhamento")</f>
        <v>Ação</v>
      </c>
      <c r="I226" s="17" t="n">
        <v>303.004246284501</v>
      </c>
      <c r="J226" s="11" t="n">
        <f aca="false">D226*I226</f>
        <v>1574713.06794055</v>
      </c>
      <c r="K226" s="7" t="n">
        <f aca="false">Parâmetros!$B$4+Parâmetros!$B$5*F226</f>
        <v>0.104804904334357</v>
      </c>
      <c r="L226" s="11" t="n">
        <f aca="false">D226*(1+G226)</f>
        <v>5861.60314018436</v>
      </c>
      <c r="M226" s="14" t="n">
        <v>0</v>
      </c>
      <c r="N226" s="4" t="n">
        <v>0.964705882352941</v>
      </c>
      <c r="O226" s="3" t="str">
        <f aca="false">IF(AND(B226=4,M226=1),IF(N226&lt;0.8,"Subgrupo 7 dias; fronteira de cluster","Subgrupo 7 dias"),IF(N226&lt;0.8,"Fronteira de cluster",""))</f>
        <v/>
      </c>
    </row>
    <row r="227" customFormat="false" ht="15" hidden="false" customHeight="false" outlineLevel="0" collapsed="false">
      <c r="A227" s="14" t="n">
        <v>226</v>
      </c>
      <c r="B227" s="14" t="n">
        <v>0</v>
      </c>
      <c r="C227" s="14" t="s">
        <v>29</v>
      </c>
      <c r="D227" s="15" t="n">
        <v>7257.29065300896</v>
      </c>
      <c r="E227" s="16" t="n">
        <f aca="false">INDEX(Parâmetros!$C$33:$C$37,MATCH(B227,Parâmetros!$A$33:$A$37,0))</f>
        <v>5476.37033462034</v>
      </c>
      <c r="F227" s="7" t="n">
        <f aca="false">MAX(0,(E227-D227)/D227)</f>
        <v>0</v>
      </c>
      <c r="G227" s="7" t="n">
        <f aca="false">MIN(K227*Parâmetros!$B$19,Parâmetros!$B$8)</f>
        <v>0.0244038339849275</v>
      </c>
      <c r="H227" s="3" t="str">
        <f aca="false">IF(F227&gt;=Parâmetros!$B$6,"Ação","Acompanhamento")</f>
        <v>Acompanhamento</v>
      </c>
      <c r="I227" s="17" t="n">
        <v>302.616772823779</v>
      </c>
      <c r="J227" s="11" t="n">
        <f aca="false">D227*I227</f>
        <v>2196177.87685775</v>
      </c>
      <c r="K227" s="7" t="n">
        <f aca="false">Parâmetros!$B$4+Parâmetros!$B$5*F227</f>
        <v>0.02</v>
      </c>
      <c r="L227" s="11" t="n">
        <f aca="false">D227*(1+G227)</f>
        <v>7434.39636928536</v>
      </c>
      <c r="M227" s="14" t="n">
        <v>0</v>
      </c>
      <c r="N227" s="4" t="n">
        <v>0.646341463414634</v>
      </c>
      <c r="O227" s="3" t="str">
        <f aca="false">IF(AND(B227=4,M227=1),IF(N227&lt;0.8,"Subgrupo 7 dias; fronteira de cluster","Subgrupo 7 dias"),IF(N227&lt;0.8,"Fronteira de cluster",""))</f>
        <v>Fronteira de cluster</v>
      </c>
    </row>
    <row r="228" customFormat="false" ht="15" hidden="false" customHeight="false" outlineLevel="0" collapsed="false">
      <c r="A228" s="14" t="n">
        <v>227</v>
      </c>
      <c r="B228" s="14" t="n">
        <v>1</v>
      </c>
      <c r="C228" s="14" t="s">
        <v>30</v>
      </c>
      <c r="D228" s="15" t="n">
        <v>6028.29726205997</v>
      </c>
      <c r="E228" s="16" t="n">
        <f aca="false">INDEX(Parâmetros!$C$33:$C$37,MATCH(B228,Parâmetros!$A$33:$A$37,0))</f>
        <v>6959.92435130262</v>
      </c>
      <c r="F228" s="7" t="n">
        <f aca="false">MAX(0,(E228-D228)/D228)</f>
        <v>0.154542327417393</v>
      </c>
      <c r="G228" s="7" t="n">
        <f aca="false">MIN(K228*Parâmetros!$B$19,Parâmetros!$B$8)</f>
        <v>0.071546650259157</v>
      </c>
      <c r="H228" s="3" t="str">
        <f aca="false">IF(F228&gt;=Parâmetros!$B$6,"Ação","Acompanhamento")</f>
        <v>Ação</v>
      </c>
      <c r="I228" s="17" t="n">
        <v>297.579617834395</v>
      </c>
      <c r="J228" s="11" t="n">
        <f aca="false">D228*I228</f>
        <v>1793898.39543594</v>
      </c>
      <c r="K228" s="7" t="n">
        <f aca="false">Parâmetros!$B$4+Parâmetros!$B$5*F228</f>
        <v>0.0586355818543483</v>
      </c>
      <c r="L228" s="11" t="n">
        <f aca="false">D228*(1+G228)</f>
        <v>6459.60173792681</v>
      </c>
      <c r="M228" s="14" t="n">
        <v>0</v>
      </c>
      <c r="N228" s="4" t="n">
        <v>0.855555555555556</v>
      </c>
      <c r="O228" s="3" t="str">
        <f aca="false">IF(AND(B228=4,M228=1),IF(N228&lt;0.8,"Subgrupo 7 dias; fronteira de cluster","Subgrupo 7 dias"),IF(N228&lt;0.8,"Fronteira de cluster",""))</f>
        <v/>
      </c>
    </row>
    <row r="229" customFormat="false" ht="15" hidden="false" customHeight="false" outlineLevel="0" collapsed="false">
      <c r="A229" s="14" t="n">
        <v>228</v>
      </c>
      <c r="B229" s="14" t="n">
        <v>1</v>
      </c>
      <c r="C229" s="14" t="s">
        <v>30</v>
      </c>
      <c r="D229" s="15" t="n">
        <v>7946.13992297818</v>
      </c>
      <c r="E229" s="16" t="n">
        <f aca="false">INDEX(Parâmetros!$C$33:$C$37,MATCH(B229,Parâmetros!$A$33:$A$37,0))</f>
        <v>6959.92435130262</v>
      </c>
      <c r="F229" s="7" t="n">
        <f aca="false">MAX(0,(E229-D229)/D229)</f>
        <v>0</v>
      </c>
      <c r="G229" s="7" t="n">
        <f aca="false">MIN(K229*Parâmetros!$B$19,Parâmetros!$B$8)</f>
        <v>0.0244038339849275</v>
      </c>
      <c r="H229" s="3" t="str">
        <f aca="false">IF(F229&gt;=Parâmetros!$B$6,"Ação","Acompanhamento")</f>
        <v>Acompanhamento</v>
      </c>
      <c r="I229" s="17" t="n">
        <v>301.841825902336</v>
      </c>
      <c r="J229" s="11" t="n">
        <f aca="false">D229*I229</f>
        <v>2398477.38322718</v>
      </c>
      <c r="K229" s="7" t="n">
        <f aca="false">Parâmetros!$B$4+Parâmetros!$B$5*F229</f>
        <v>0.02</v>
      </c>
      <c r="L229" s="11" t="n">
        <f aca="false">D229*(1+G229)</f>
        <v>8140.05620247954</v>
      </c>
      <c r="M229" s="14" t="n">
        <v>0</v>
      </c>
      <c r="N229" s="4" t="n">
        <v>1</v>
      </c>
      <c r="O229" s="3" t="str">
        <f aca="false">IF(AND(B229=4,M229=1),IF(N229&lt;0.8,"Subgrupo 7 dias; fronteira de cluster","Subgrupo 7 dias"),IF(N229&lt;0.8,"Fronteira de cluster",""))</f>
        <v/>
      </c>
    </row>
    <row r="230" customFormat="false" ht="15" hidden="false" customHeight="false" outlineLevel="0" collapsed="false">
      <c r="A230" s="14" t="n">
        <v>229</v>
      </c>
      <c r="B230" s="14" t="n">
        <v>1</v>
      </c>
      <c r="C230" s="14" t="s">
        <v>30</v>
      </c>
      <c r="D230" s="15" t="n">
        <v>8645.36328626444</v>
      </c>
      <c r="E230" s="16" t="n">
        <f aca="false">INDEX(Parâmetros!$C$33:$C$37,MATCH(B230,Parâmetros!$A$33:$A$37,0))</f>
        <v>6959.92435130262</v>
      </c>
      <c r="F230" s="7" t="n">
        <f aca="false">MAX(0,(E230-D230)/D230)</f>
        <v>0</v>
      </c>
      <c r="G230" s="7" t="n">
        <f aca="false">MIN(K230*Parâmetros!$B$19,Parâmetros!$B$8)</f>
        <v>0.0244038339849275</v>
      </c>
      <c r="H230" s="3" t="str">
        <f aca="false">IF(F230&gt;=Parâmetros!$B$6,"Ação","Acompanhamento")</f>
        <v>Acompanhamento</v>
      </c>
      <c r="I230" s="17" t="n">
        <v>301.841825902336</v>
      </c>
      <c r="J230" s="11" t="n">
        <f aca="false">D230*I230</f>
        <v>2609532.23991507</v>
      </c>
      <c r="K230" s="7" t="n">
        <f aca="false">Parâmetros!$B$4+Parâmetros!$B$5*F230</f>
        <v>0.02</v>
      </c>
      <c r="L230" s="11" t="n">
        <f aca="false">D230*(1+G230)</f>
        <v>8856.34329664183</v>
      </c>
      <c r="M230" s="14" t="n">
        <v>0</v>
      </c>
      <c r="N230" s="4" t="n">
        <v>1</v>
      </c>
      <c r="O230" s="3" t="str">
        <f aca="false">IF(AND(B230=4,M230=1),IF(N230&lt;0.8,"Subgrupo 7 dias; fronteira de cluster","Subgrupo 7 dias"),IF(N230&lt;0.8,"Fronteira de cluster",""))</f>
        <v/>
      </c>
    </row>
    <row r="231" customFormat="false" ht="15" hidden="false" customHeight="false" outlineLevel="0" collapsed="false">
      <c r="A231" s="14" t="n">
        <v>230</v>
      </c>
      <c r="B231" s="14" t="n">
        <v>4</v>
      </c>
      <c r="C231" s="14" t="s">
        <v>33</v>
      </c>
      <c r="D231" s="15" t="n">
        <v>7561.64030612245</v>
      </c>
      <c r="E231" s="16" t="n">
        <f aca="false">INDEX(Parâmetros!$C$33:$C$37,MATCH(B231,Parâmetros!$A$33:$A$37,0))</f>
        <v>8837.10512820513</v>
      </c>
      <c r="F231" s="7" t="n">
        <f aca="false">MAX(0,(E231-D231)/D231)</f>
        <v>0.16867568020261</v>
      </c>
      <c r="G231" s="7" t="n">
        <f aca="false">MIN(K231*Parâmetros!$B$19,Parâmetros!$B$8)</f>
        <v>0.0758580001969177</v>
      </c>
      <c r="H231" s="3" t="str">
        <f aca="false">IF(F231&gt;=Parâmetros!$B$6,"Ação","Acompanhamento")</f>
        <v>Ação</v>
      </c>
      <c r="I231" s="17" t="n">
        <v>303.779193205945</v>
      </c>
      <c r="J231" s="11" t="n">
        <f aca="false">D231*I231</f>
        <v>2297068.99150743</v>
      </c>
      <c r="K231" s="7" t="n">
        <f aca="false">Parâmetros!$B$4+Parâmetros!$B$5*F231</f>
        <v>0.0621689200506526</v>
      </c>
      <c r="L231" s="11" t="n">
        <f aca="false">D231*(1+G231)</f>
        <v>8135.25121795331</v>
      </c>
      <c r="M231" s="14" t="n">
        <v>0</v>
      </c>
      <c r="N231" s="4" t="n">
        <v>0.786666666666667</v>
      </c>
      <c r="O231" s="3" t="str">
        <f aca="false">IF(AND(B231=4,M231=1),IF(N231&lt;0.8,"Subgrupo 7 dias; fronteira de cluster","Subgrupo 7 dias"),IF(N231&lt;0.8,"Fronteira de cluster",""))</f>
        <v>Fronteira de cluster</v>
      </c>
    </row>
    <row r="232" customFormat="false" ht="15" hidden="false" customHeight="false" outlineLevel="0" collapsed="false">
      <c r="A232" s="14" t="n">
        <v>231</v>
      </c>
      <c r="B232" s="14" t="n">
        <v>1</v>
      </c>
      <c r="C232" s="14" t="s">
        <v>30</v>
      </c>
      <c r="D232" s="15" t="n">
        <v>4770.27974276527</v>
      </c>
      <c r="E232" s="16" t="n">
        <f aca="false">INDEX(Parâmetros!$C$33:$C$37,MATCH(B232,Parâmetros!$A$33:$A$37,0))</f>
        <v>6959.92435130262</v>
      </c>
      <c r="F232" s="7" t="n">
        <f aca="false">MAX(0,(E232-D232)/D232)</f>
        <v>0.459018071604337</v>
      </c>
      <c r="G232" s="7" t="n">
        <f aca="false">MIN(K232*Parâmetros!$B$19,Parâmetros!$B$8)</f>
        <v>0.16442634417885</v>
      </c>
      <c r="H232" s="3" t="str">
        <f aca="false">IF(F232&gt;=Parâmetros!$B$6,"Ação","Acompanhamento")</f>
        <v>Ação</v>
      </c>
      <c r="I232" s="17" t="n">
        <v>299.511873350924</v>
      </c>
      <c r="J232" s="11" t="n">
        <f aca="false">D232*I232</f>
        <v>1428755.42216359</v>
      </c>
      <c r="K232" s="7" t="n">
        <f aca="false">Parâmetros!$B$4+Parâmetros!$B$5*F232</f>
        <v>0.134754517901084</v>
      </c>
      <c r="L232" s="11" t="n">
        <f aca="false">D232*(1+G232)</f>
        <v>5554.63940157859</v>
      </c>
      <c r="M232" s="14" t="n">
        <v>0</v>
      </c>
      <c r="N232" s="4" t="n">
        <v>1</v>
      </c>
      <c r="O232" s="3" t="str">
        <f aca="false">IF(AND(B232=4,M232=1),IF(N232&lt;0.8,"Subgrupo 7 dias; fronteira de cluster","Subgrupo 7 dias"),IF(N232&lt;0.8,"Fronteira de cluster",""))</f>
        <v/>
      </c>
    </row>
    <row r="233" customFormat="false" ht="15" hidden="false" customHeight="false" outlineLevel="0" collapsed="false">
      <c r="A233" s="14" t="n">
        <v>232</v>
      </c>
      <c r="B233" s="14" t="n">
        <v>3</v>
      </c>
      <c r="C233" s="14" t="s">
        <v>32</v>
      </c>
      <c r="D233" s="15" t="n">
        <v>3376.75947712418</v>
      </c>
      <c r="E233" s="16" t="n">
        <f aca="false">INDEX(Parâmetros!$C$33:$C$37,MATCH(B233,Parâmetros!$A$33:$A$37,0))</f>
        <v>5909.24487179487</v>
      </c>
      <c r="F233" s="7" t="n">
        <f aca="false">MAX(0,(E233-D233)/D233)</f>
        <v>0.749975060950293</v>
      </c>
      <c r="G233" s="7" t="n">
        <f aca="false">MIN(K233*Parâmetros!$B$19,Parâmetros!$B$8)</f>
        <v>0.2</v>
      </c>
      <c r="H233" s="3" t="str">
        <f aca="false">IF(F233&gt;=Parâmetros!$B$6,"Ação","Acompanhamento")</f>
        <v>Ação</v>
      </c>
      <c r="I233" s="17" t="n">
        <v>296.804670912951</v>
      </c>
      <c r="J233" s="11" t="n">
        <f aca="false">D233*I233</f>
        <v>1002237.98536003</v>
      </c>
      <c r="K233" s="7" t="n">
        <f aca="false">Parâmetros!$B$4+Parâmetros!$B$5*F233</f>
        <v>0.207493765237573</v>
      </c>
      <c r="L233" s="11" t="n">
        <f aca="false">D233*(1+G233)</f>
        <v>4052.11137254902</v>
      </c>
      <c r="M233" s="14" t="n">
        <v>0</v>
      </c>
      <c r="N233" s="4" t="n">
        <v>0.785714285714286</v>
      </c>
      <c r="O233" s="3" t="str">
        <f aca="false">IF(AND(B233=4,M233=1),IF(N233&lt;0.8,"Subgrupo 7 dias; fronteira de cluster","Subgrupo 7 dias"),IF(N233&lt;0.8,"Fronteira de cluster",""))</f>
        <v>Fronteira de cluster</v>
      </c>
    </row>
    <row r="234" customFormat="false" ht="15" hidden="false" customHeight="false" outlineLevel="0" collapsed="false">
      <c r="A234" s="14" t="n">
        <v>233</v>
      </c>
      <c r="B234" s="14" t="n">
        <v>4</v>
      </c>
      <c r="C234" s="14" t="s">
        <v>33</v>
      </c>
      <c r="D234" s="15" t="n">
        <v>9431.08962868118</v>
      </c>
      <c r="E234" s="16" t="n">
        <f aca="false">INDEX(Parâmetros!$C$33:$C$37,MATCH(B234,Parâmetros!$A$33:$A$37,0))</f>
        <v>8837.10512820513</v>
      </c>
      <c r="F234" s="7" t="n">
        <f aca="false">MAX(0,(E234-D234)/D234)</f>
        <v>0</v>
      </c>
      <c r="G234" s="7" t="n">
        <f aca="false">MIN(K234*Parâmetros!$B$19,Parâmetros!$B$8)</f>
        <v>0.0244038339849275</v>
      </c>
      <c r="H234" s="3" t="str">
        <f aca="false">IF(F234&gt;=Parâmetros!$B$6,"Ação","Acompanhamento")</f>
        <v>Acompanhamento</v>
      </c>
      <c r="I234" s="17" t="n">
        <v>302.616772823779</v>
      </c>
      <c r="J234" s="11" t="n">
        <f aca="false">D234*I234</f>
        <v>2854005.90764331</v>
      </c>
      <c r="K234" s="7" t="n">
        <f aca="false">Parâmetros!$B$4+Parâmetros!$B$5*F234</f>
        <v>0.02</v>
      </c>
      <c r="L234" s="11" t="n">
        <f aca="false">D234*(1+G234)</f>
        <v>9661.24437427649</v>
      </c>
      <c r="M234" s="14" t="n">
        <v>0</v>
      </c>
      <c r="N234" s="4" t="n">
        <v>1</v>
      </c>
      <c r="O234" s="3" t="str">
        <f aca="false">IF(AND(B234=4,M234=1),IF(N234&lt;0.8,"Subgrupo 7 dias; fronteira de cluster","Subgrupo 7 dias"),IF(N234&lt;0.8,"Fronteira de cluster",""))</f>
        <v/>
      </c>
    </row>
    <row r="235" customFormat="false" ht="15" hidden="false" customHeight="false" outlineLevel="0" collapsed="false">
      <c r="A235" s="14" t="n">
        <v>234</v>
      </c>
      <c r="B235" s="14" t="n">
        <v>1</v>
      </c>
      <c r="C235" s="14" t="s">
        <v>30</v>
      </c>
      <c r="D235" s="15" t="n">
        <v>11072.3157894737</v>
      </c>
      <c r="E235" s="16" t="n">
        <f aca="false">INDEX(Parâmetros!$C$33:$C$37,MATCH(B235,Parâmetros!$A$33:$A$37,0))</f>
        <v>6959.92435130262</v>
      </c>
      <c r="F235" s="7" t="n">
        <f aca="false">MAX(0,(E235-D235)/D235)</f>
        <v>0</v>
      </c>
      <c r="G235" s="7" t="n">
        <f aca="false">MIN(K235*Parâmetros!$B$19,Parâmetros!$B$8)</f>
        <v>0.0244038339849275</v>
      </c>
      <c r="H235" s="3" t="str">
        <f aca="false">IF(F235&gt;=Parâmetros!$B$6,"Ação","Acompanhamento")</f>
        <v>Acompanhamento</v>
      </c>
      <c r="I235" s="17" t="n">
        <v>301.841825902336</v>
      </c>
      <c r="J235" s="11" t="n">
        <f aca="false">D235*I235</f>
        <v>3342088.01486199</v>
      </c>
      <c r="K235" s="7" t="n">
        <f aca="false">Parâmetros!$B$4+Parâmetros!$B$5*F235</f>
        <v>0.02</v>
      </c>
      <c r="L235" s="11" t="n">
        <f aca="false">D235*(1+G235)</f>
        <v>11342.5227458287</v>
      </c>
      <c r="M235" s="14" t="n">
        <v>0</v>
      </c>
      <c r="N235" s="4" t="n">
        <v>0.872093023255814</v>
      </c>
      <c r="O235" s="3" t="str">
        <f aca="false">IF(AND(B235=4,M235=1),IF(N235&lt;0.8,"Subgrupo 7 dias; fronteira de cluster","Subgrupo 7 dias"),IF(N235&lt;0.8,"Fronteira de cluster",""))</f>
        <v/>
      </c>
    </row>
    <row r="236" customFormat="false" ht="15" hidden="false" customHeight="false" outlineLevel="0" collapsed="false">
      <c r="A236" s="14" t="n">
        <v>235</v>
      </c>
      <c r="B236" s="14" t="n">
        <v>3</v>
      </c>
      <c r="C236" s="14" t="s">
        <v>32</v>
      </c>
      <c r="D236" s="15" t="n">
        <v>5935.44814340589</v>
      </c>
      <c r="E236" s="16" t="n">
        <f aca="false">INDEX(Parâmetros!$C$33:$C$37,MATCH(B236,Parâmetros!$A$33:$A$37,0))</f>
        <v>5909.24487179487</v>
      </c>
      <c r="F236" s="7" t="n">
        <f aca="false">MAX(0,(E236-D236)/D236)</f>
        <v>0</v>
      </c>
      <c r="G236" s="7" t="n">
        <f aca="false">MIN(K236*Parâmetros!$B$19,Parâmetros!$B$8)</f>
        <v>0.0244038339849275</v>
      </c>
      <c r="H236" s="3" t="str">
        <f aca="false">IF(F236&gt;=Parâmetros!$B$6,"Ação","Acompanhamento")</f>
        <v>Acompanhamento</v>
      </c>
      <c r="I236" s="17" t="n">
        <v>302.616772823779</v>
      </c>
      <c r="J236" s="11" t="n">
        <f aca="false">D236*I236</f>
        <v>1796166.16242038</v>
      </c>
      <c r="K236" s="7" t="n">
        <f aca="false">Parâmetros!$B$4+Parâmetros!$B$5*F236</f>
        <v>0.02</v>
      </c>
      <c r="L236" s="11" t="n">
        <f aca="false">D236*(1+G236)</f>
        <v>6080.29583452371</v>
      </c>
      <c r="M236" s="14" t="n">
        <v>0</v>
      </c>
      <c r="N236" s="4" t="n">
        <v>1</v>
      </c>
      <c r="O236" s="3" t="str">
        <f aca="false">IF(AND(B236=4,M236=1),IF(N236&lt;0.8,"Subgrupo 7 dias; fronteira de cluster","Subgrupo 7 dias"),IF(N236&lt;0.8,"Fronteira de cluster",""))</f>
        <v/>
      </c>
    </row>
    <row r="237" customFormat="false" ht="15" hidden="false" customHeight="false" outlineLevel="0" collapsed="false">
      <c r="A237" s="14" t="n">
        <v>236</v>
      </c>
      <c r="B237" s="14" t="n">
        <v>0</v>
      </c>
      <c r="C237" s="14" t="s">
        <v>29</v>
      </c>
      <c r="D237" s="15" t="n">
        <v>7119.5637755102</v>
      </c>
      <c r="E237" s="16" t="n">
        <f aca="false">INDEX(Parâmetros!$C$33:$C$37,MATCH(B237,Parâmetros!$A$33:$A$37,0))</f>
        <v>5476.37033462034</v>
      </c>
      <c r="F237" s="7" t="n">
        <f aca="false">MAX(0,(E237-D237)/D237)</f>
        <v>0</v>
      </c>
      <c r="G237" s="7" t="n">
        <f aca="false">MIN(K237*Parâmetros!$B$19,Parâmetros!$B$8)</f>
        <v>0.0244038339849275</v>
      </c>
      <c r="H237" s="3" t="str">
        <f aca="false">IF(F237&gt;=Parâmetros!$B$6,"Ação","Acompanhamento")</f>
        <v>Acompanhamento</v>
      </c>
      <c r="I237" s="17" t="n">
        <v>303.779193205945</v>
      </c>
      <c r="J237" s="11" t="n">
        <f aca="false">D237*I237</f>
        <v>2162775.33970276</v>
      </c>
      <c r="K237" s="7" t="n">
        <f aca="false">Parâmetros!$B$4+Parâmetros!$B$5*F237</f>
        <v>0.02</v>
      </c>
      <c r="L237" s="11" t="n">
        <f aca="false">D237*(1+G237)</f>
        <v>7293.30842793286</v>
      </c>
      <c r="M237" s="14" t="n">
        <v>0</v>
      </c>
      <c r="N237" s="4" t="n">
        <v>0.988095238095238</v>
      </c>
      <c r="O237" s="3" t="str">
        <f aca="false">IF(AND(B237=4,M237=1),IF(N237&lt;0.8,"Subgrupo 7 dias; fronteira de cluster","Subgrupo 7 dias"),IF(N237&lt;0.8,"Fronteira de cluster",""))</f>
        <v/>
      </c>
    </row>
    <row r="238" customFormat="false" ht="15" hidden="false" customHeight="false" outlineLevel="0" collapsed="false">
      <c r="A238" s="14" t="n">
        <v>237</v>
      </c>
      <c r="B238" s="14" t="n">
        <v>4</v>
      </c>
      <c r="C238" s="14" t="s">
        <v>33</v>
      </c>
      <c r="D238" s="15" t="n">
        <v>4535.99107142857</v>
      </c>
      <c r="E238" s="16" t="n">
        <f aca="false">INDEX(Parâmetros!$C$33:$C$37,MATCH(B238,Parâmetros!$A$33:$A$37,0))</f>
        <v>8837.10512820513</v>
      </c>
      <c r="F238" s="7" t="n">
        <f aca="false">MAX(0,(E238-D238)/D238)</f>
        <v>0.948219251106673</v>
      </c>
      <c r="G238" s="7" t="n">
        <f aca="false">MIN(K238*Parâmetros!$B$19,Parâmetros!$B$8)</f>
        <v>0.2</v>
      </c>
      <c r="H238" s="3" t="str">
        <f aca="false">IF(F238&gt;=Parâmetros!$B$6,"Ação","Acompanhamento")</f>
        <v>Ação</v>
      </c>
      <c r="I238" s="17" t="n">
        <v>303.779193205945</v>
      </c>
      <c r="J238" s="11" t="n">
        <f aca="false">D238*I238</f>
        <v>1377939.70806794</v>
      </c>
      <c r="K238" s="7" t="n">
        <f aca="false">Parâmetros!$B$4+Parâmetros!$B$5*F238</f>
        <v>0.257054812776668</v>
      </c>
      <c r="L238" s="11" t="n">
        <f aca="false">D238*(1+G238)</f>
        <v>5443.18928571429</v>
      </c>
      <c r="M238" s="14" t="n">
        <v>0</v>
      </c>
      <c r="N238" s="4" t="n">
        <v>0.941176470588235</v>
      </c>
      <c r="O238" s="3" t="str">
        <f aca="false">IF(AND(B238=4,M238=1),IF(N238&lt;0.8,"Subgrupo 7 dias; fronteira de cluster","Subgrupo 7 dias"),IF(N238&lt;0.8,"Fronteira de cluster",""))</f>
        <v/>
      </c>
    </row>
    <row r="239" customFormat="false" ht="15" hidden="false" customHeight="false" outlineLevel="0" collapsed="false">
      <c r="A239" s="14" t="n">
        <v>238</v>
      </c>
      <c r="B239" s="14" t="n">
        <v>4</v>
      </c>
      <c r="C239" s="14" t="s">
        <v>33</v>
      </c>
      <c r="D239" s="15" t="n">
        <v>7671.73333333333</v>
      </c>
      <c r="E239" s="16" t="n">
        <f aca="false">INDEX(Parâmetros!$C$33:$C$37,MATCH(B239,Parâmetros!$A$33:$A$37,0))</f>
        <v>8837.10512820513</v>
      </c>
      <c r="F239" s="7" t="n">
        <f aca="false">MAX(0,(E239-D239)/D239)</f>
        <v>0.151904627577227</v>
      </c>
      <c r="G239" s="7" t="n">
        <f aca="false">MIN(K239*Parâmetros!$B$19,Parâmetros!$B$8)</f>
        <v>0.0707420253966383</v>
      </c>
      <c r="H239" s="3" t="str">
        <f aca="false">IF(F239&gt;=Parâmetros!$B$6,"Ação","Acompanhamento")</f>
        <v>Ação</v>
      </c>
      <c r="I239" s="17" t="n">
        <v>296.804670912951</v>
      </c>
      <c r="J239" s="11" t="n">
        <f aca="false">D239*I239</f>
        <v>2277006.28733192</v>
      </c>
      <c r="K239" s="7" t="n">
        <f aca="false">Parâmetros!$B$4+Parâmetros!$B$5*F239</f>
        <v>0.0579761568943066</v>
      </c>
      <c r="L239" s="11" t="n">
        <f aca="false">D239*(1+G239)</f>
        <v>8214.44728763624</v>
      </c>
      <c r="M239" s="14" t="n">
        <v>0</v>
      </c>
      <c r="N239" s="4" t="n">
        <v>0.974025974025974</v>
      </c>
      <c r="O239" s="3" t="str">
        <f aca="false">IF(AND(B239=4,M239=1),IF(N239&lt;0.8,"Subgrupo 7 dias; fronteira de cluster","Subgrupo 7 dias"),IF(N239&lt;0.8,"Fronteira de cluster",""))</f>
        <v/>
      </c>
    </row>
    <row r="240" customFormat="false" ht="15" hidden="false" customHeight="false" outlineLevel="0" collapsed="false">
      <c r="A240" s="14" t="n">
        <v>239</v>
      </c>
      <c r="B240" s="14" t="n">
        <v>0</v>
      </c>
      <c r="C240" s="14" t="s">
        <v>29</v>
      </c>
      <c r="D240" s="15" t="n">
        <v>5071.21052631579</v>
      </c>
      <c r="E240" s="16" t="n">
        <f aca="false">INDEX(Parâmetros!$C$33:$C$37,MATCH(B240,Parâmetros!$A$33:$A$37,0))</f>
        <v>5476.37033462034</v>
      </c>
      <c r="F240" s="7" t="n">
        <f aca="false">MAX(0,(E240-D240)/D240)</f>
        <v>0.0798941014580383</v>
      </c>
      <c r="G240" s="7" t="n">
        <f aca="false">MIN(K240*Parâmetros!$B$19,Parâmetros!$B$8)</f>
        <v>0.0487753638393889</v>
      </c>
      <c r="H240" s="3" t="str">
        <f aca="false">IF(F240&gt;=Parâmetros!$B$6,"Ação","Acompanhamento")</f>
        <v>Acompanhamento</v>
      </c>
      <c r="I240" s="17" t="n">
        <v>301.841825902336</v>
      </c>
      <c r="J240" s="11" t="n">
        <f aca="false">D240*I240</f>
        <v>1530703.4447983</v>
      </c>
      <c r="K240" s="7" t="n">
        <f aca="false">Parâmetros!$B$4+Parâmetros!$B$5*F240</f>
        <v>0.0399735253645096</v>
      </c>
      <c r="L240" s="11" t="n">
        <f aca="false">D240*(1+G240)</f>
        <v>5318.56066484298</v>
      </c>
      <c r="M240" s="14" t="n">
        <v>0</v>
      </c>
      <c r="N240" s="4" t="n">
        <v>1</v>
      </c>
      <c r="O240" s="3" t="str">
        <f aca="false">IF(AND(B240=4,M240=1),IF(N240&lt;0.8,"Subgrupo 7 dias; fronteira de cluster","Subgrupo 7 dias"),IF(N240&lt;0.8,"Fronteira de cluster",""))</f>
        <v/>
      </c>
    </row>
    <row r="241" customFormat="false" ht="15" hidden="false" customHeight="false" outlineLevel="0" collapsed="false">
      <c r="A241" s="14" t="n">
        <v>240</v>
      </c>
      <c r="B241" s="14" t="n">
        <v>0</v>
      </c>
      <c r="C241" s="14" t="s">
        <v>29</v>
      </c>
      <c r="D241" s="15" t="n">
        <v>4812.03571428572</v>
      </c>
      <c r="E241" s="16" t="n">
        <f aca="false">INDEX(Parâmetros!$C$33:$C$37,MATCH(B241,Parâmetros!$A$33:$A$37,0))</f>
        <v>5476.37033462034</v>
      </c>
      <c r="F241" s="7" t="n">
        <f aca="false">MAX(0,(E241-D241)/D241)</f>
        <v>0.138056876502886</v>
      </c>
      <c r="G241" s="7" t="n">
        <f aca="false">MIN(K241*Parâmetros!$B$19,Parâmetros!$B$8)</f>
        <v>0.0665177976681032</v>
      </c>
      <c r="H241" s="3" t="str">
        <f aca="false">IF(F241&gt;=Parâmetros!$B$6,"Ação","Acompanhamento")</f>
        <v>Ação</v>
      </c>
      <c r="I241" s="17" t="n">
        <v>303.779193205945</v>
      </c>
      <c r="J241" s="11" t="n">
        <f aca="false">D241*I241</f>
        <v>1461796.32696391</v>
      </c>
      <c r="K241" s="7" t="n">
        <f aca="false">Parâmetros!$B$4+Parâmetros!$B$5*F241</f>
        <v>0.0545142191257215</v>
      </c>
      <c r="L241" s="11" t="n">
        <f aca="false">D241*(1+G241)</f>
        <v>5132.12173230026</v>
      </c>
      <c r="M241" s="14" t="n">
        <v>0</v>
      </c>
      <c r="N241" s="4" t="n">
        <v>0.576923076923077</v>
      </c>
      <c r="O241" s="3" t="str">
        <f aca="false">IF(AND(B241=4,M241=1),IF(N241&lt;0.8,"Subgrupo 7 dias; fronteira de cluster","Subgrupo 7 dias"),IF(N241&lt;0.8,"Fronteira de cluster",""))</f>
        <v>Fronteira de cluster</v>
      </c>
    </row>
    <row r="242" customFormat="false" ht="15" hidden="false" customHeight="false" outlineLevel="0" collapsed="false">
      <c r="A242" s="14" t="n">
        <v>241</v>
      </c>
      <c r="B242" s="14" t="n">
        <v>4</v>
      </c>
      <c r="C242" s="14" t="s">
        <v>33</v>
      </c>
      <c r="D242" s="15" t="n">
        <v>6583.22721437741</v>
      </c>
      <c r="E242" s="16" t="n">
        <f aca="false">INDEX(Parâmetros!$C$33:$C$37,MATCH(B242,Parâmetros!$A$33:$A$37,0))</f>
        <v>8837.10512820513</v>
      </c>
      <c r="F242" s="7" t="n">
        <f aca="false">MAX(0,(E242-D242)/D242)</f>
        <v>0.342366720824306</v>
      </c>
      <c r="G242" s="7" t="n">
        <f aca="false">MIN(K242*Parâmetros!$B$19,Parâmetros!$B$8)</f>
        <v>0.128842091696932</v>
      </c>
      <c r="H242" s="3" t="str">
        <f aca="false">IF(F242&gt;=Parâmetros!$B$6,"Ação","Acompanhamento")</f>
        <v>Ação</v>
      </c>
      <c r="I242" s="17" t="n">
        <v>301.841825902336</v>
      </c>
      <c r="J242" s="11" t="n">
        <f aca="false">D242*I242</f>
        <v>1987093.32271762</v>
      </c>
      <c r="K242" s="7" t="n">
        <f aca="false">Parâmetros!$B$4+Parâmetros!$B$5*F242</f>
        <v>0.105591680206076</v>
      </c>
      <c r="L242" s="11" t="n">
        <f aca="false">D242*(1+G242)</f>
        <v>7431.42397879396</v>
      </c>
      <c r="M242" s="14" t="n">
        <v>0</v>
      </c>
      <c r="N242" s="4" t="n">
        <v>0.95</v>
      </c>
      <c r="O242" s="3" t="str">
        <f aca="false">IF(AND(B242=4,M242=1),IF(N242&lt;0.8,"Subgrupo 7 dias; fronteira de cluster","Subgrupo 7 dias"),IF(N242&lt;0.8,"Fronteira de cluster",""))</f>
        <v/>
      </c>
    </row>
    <row r="243" customFormat="false" ht="15" hidden="false" customHeight="false" outlineLevel="0" collapsed="false">
      <c r="A243" s="14" t="n">
        <v>242</v>
      </c>
      <c r="B243" s="14" t="n">
        <v>3</v>
      </c>
      <c r="C243" s="14" t="s">
        <v>32</v>
      </c>
      <c r="D243" s="15" t="n">
        <v>4093.0947503201</v>
      </c>
      <c r="E243" s="16" t="n">
        <f aca="false">INDEX(Parâmetros!$C$33:$C$37,MATCH(B243,Parâmetros!$A$33:$A$37,0))</f>
        <v>5909.24487179487</v>
      </c>
      <c r="F243" s="7" t="n">
        <f aca="false">MAX(0,(E243-D243)/D243)</f>
        <v>0.443710745111077</v>
      </c>
      <c r="G243" s="7" t="n">
        <f aca="false">MIN(K243*Parâmetros!$B$19,Parâmetros!$B$8)</f>
        <v>0.159756875997667</v>
      </c>
      <c r="H243" s="3" t="str">
        <f aca="false">IF(F243&gt;=Parâmetros!$B$6,"Ação","Acompanhamento")</f>
        <v>Ação</v>
      </c>
      <c r="I243" s="17" t="n">
        <v>302.616772823779</v>
      </c>
      <c r="J243" s="11" t="n">
        <f aca="false">D243*I243</f>
        <v>1238639.12420382</v>
      </c>
      <c r="K243" s="7" t="n">
        <f aca="false">Parâmetros!$B$4+Parâmetros!$B$5*F243</f>
        <v>0.130927686277769</v>
      </c>
      <c r="L243" s="11" t="n">
        <f aca="false">D243*(1+G243)</f>
        <v>4746.99478079369</v>
      </c>
      <c r="M243" s="14" t="n">
        <v>0</v>
      </c>
      <c r="N243" s="4" t="n">
        <v>1</v>
      </c>
      <c r="O243" s="3" t="str">
        <f aca="false">IF(AND(B243=4,M243=1),IF(N243&lt;0.8,"Subgrupo 7 dias; fronteira de cluster","Subgrupo 7 dias"),IF(N243&lt;0.8,"Fronteira de cluster",""))</f>
        <v/>
      </c>
    </row>
    <row r="244" customFormat="false" ht="15" hidden="false" customHeight="false" outlineLevel="0" collapsed="false">
      <c r="A244" s="14" t="n">
        <v>243</v>
      </c>
      <c r="B244" s="14" t="n">
        <v>0</v>
      </c>
      <c r="C244" s="14" t="s">
        <v>29</v>
      </c>
      <c r="D244" s="15" t="n">
        <v>7074.07062600321</v>
      </c>
      <c r="E244" s="16" t="n">
        <f aca="false">INDEX(Parâmetros!$C$33:$C$37,MATCH(B244,Parâmetros!$A$33:$A$37,0))</f>
        <v>5476.37033462034</v>
      </c>
      <c r="F244" s="7" t="n">
        <f aca="false">MAX(0,(E244-D244)/D244)</f>
        <v>0</v>
      </c>
      <c r="G244" s="7" t="n">
        <f aca="false">MIN(K244*Parâmetros!$B$19,Parâmetros!$B$8)</f>
        <v>0.0244038339849275</v>
      </c>
      <c r="H244" s="3" t="str">
        <f aca="false">IF(F244&gt;=Parâmetros!$B$6,"Ação","Acompanhamento")</f>
        <v>Acompanhamento</v>
      </c>
      <c r="I244" s="17" t="n">
        <v>299.993403693931</v>
      </c>
      <c r="J244" s="11" t="n">
        <f aca="false">D244*I244</f>
        <v>2122174.52506596</v>
      </c>
      <c r="K244" s="7" t="n">
        <f aca="false">Parâmetros!$B$4+Parâmetros!$B$5*F244</f>
        <v>0.02</v>
      </c>
      <c r="L244" s="11" t="n">
        <f aca="false">D244*(1+G244)</f>
        <v>7246.70507115785</v>
      </c>
      <c r="M244" s="14" t="n">
        <v>0</v>
      </c>
      <c r="N244" s="4" t="n">
        <v>0.962025316455696</v>
      </c>
      <c r="O244" s="3" t="str">
        <f aca="false">IF(AND(B244=4,M244=1),IF(N244&lt;0.8,"Subgrupo 7 dias; fronteira de cluster","Subgrupo 7 dias"),IF(N244&lt;0.8,"Fronteira de cluster",""))</f>
        <v/>
      </c>
    </row>
    <row r="245" customFormat="false" ht="15" hidden="false" customHeight="false" outlineLevel="0" collapsed="false">
      <c r="A245" s="14" t="n">
        <v>244</v>
      </c>
      <c r="B245" s="14" t="n">
        <v>0</v>
      </c>
      <c r="C245" s="14" t="s">
        <v>29</v>
      </c>
      <c r="D245" s="15" t="n">
        <v>5271.09884467266</v>
      </c>
      <c r="E245" s="16" t="n">
        <f aca="false">INDEX(Parâmetros!$C$33:$C$37,MATCH(B245,Parâmetros!$A$33:$A$37,0))</f>
        <v>5476.37033462034</v>
      </c>
      <c r="F245" s="7" t="n">
        <f aca="false">MAX(0,(E245-D245)/D245)</f>
        <v>0.038942826912673</v>
      </c>
      <c r="G245" s="7" t="n">
        <f aca="false">MIN(K245*Parâmetros!$B$19,Parâmetros!$B$8)</f>
        <v>0.0362832625209354</v>
      </c>
      <c r="H245" s="3" t="str">
        <f aca="false">IF(F245&gt;=Parâmetros!$B$6,"Ação","Acompanhamento")</f>
        <v>Acompanhamento</v>
      </c>
      <c r="I245" s="17" t="n">
        <v>301.841825902336</v>
      </c>
      <c r="J245" s="11" t="n">
        <f aca="false">D245*I245</f>
        <v>1591038.09978769</v>
      </c>
      <c r="K245" s="7" t="n">
        <f aca="false">Parâmetros!$B$4+Parâmetros!$B$5*F245</f>
        <v>0.0297357067281682</v>
      </c>
      <c r="L245" s="11" t="n">
        <f aca="false">D245*(1+G245)</f>
        <v>5462.35150782772</v>
      </c>
      <c r="M245" s="14" t="n">
        <v>0</v>
      </c>
      <c r="N245" s="4" t="n">
        <v>0.975903614457831</v>
      </c>
      <c r="O245" s="3" t="str">
        <f aca="false">IF(AND(B245=4,M245=1),IF(N245&lt;0.8,"Subgrupo 7 dias; fronteira de cluster","Subgrupo 7 dias"),IF(N245&lt;0.8,"Fronteira de cluster",""))</f>
        <v/>
      </c>
    </row>
    <row r="246" customFormat="false" ht="15" hidden="false" customHeight="false" outlineLevel="0" collapsed="false">
      <c r="A246" s="14" t="n">
        <v>245</v>
      </c>
      <c r="B246" s="14" t="n">
        <v>4</v>
      </c>
      <c r="C246" s="14" t="s">
        <v>33</v>
      </c>
      <c r="D246" s="15" t="n">
        <v>8897.66325224072</v>
      </c>
      <c r="E246" s="16" t="n">
        <f aca="false">INDEX(Parâmetros!$C$33:$C$37,MATCH(B246,Parâmetros!$A$33:$A$37,0))</f>
        <v>8837.10512820513</v>
      </c>
      <c r="F246" s="7" t="n">
        <f aca="false">MAX(0,(E246-D246)/D246)</f>
        <v>0</v>
      </c>
      <c r="G246" s="7" t="n">
        <f aca="false">MIN(K246*Parâmetros!$B$19,Parâmetros!$B$8)</f>
        <v>0.0244038339849275</v>
      </c>
      <c r="H246" s="3" t="str">
        <f aca="false">IF(F246&gt;=Parâmetros!$B$6,"Ação","Acompanhamento")</f>
        <v>Acompanhamento</v>
      </c>
      <c r="I246" s="17" t="n">
        <v>302.616772823779</v>
      </c>
      <c r="J246" s="11" t="n">
        <f aca="false">D246*I246</f>
        <v>2692582.13906582</v>
      </c>
      <c r="K246" s="7" t="n">
        <f aca="false">Parâmetros!$B$4+Parâmetros!$B$5*F246</f>
        <v>0.02</v>
      </c>
      <c r="L246" s="11" t="n">
        <f aca="false">D246*(1+G246)</f>
        <v>9114.80034910219</v>
      </c>
      <c r="M246" s="14" t="n">
        <v>0</v>
      </c>
      <c r="N246" s="4" t="n">
        <v>1</v>
      </c>
      <c r="O246" s="3" t="str">
        <f aca="false">IF(AND(B246=4,M246=1),IF(N246&lt;0.8,"Subgrupo 7 dias; fronteira de cluster","Subgrupo 7 dias"),IF(N246&lt;0.8,"Fronteira de cluster",""))</f>
        <v/>
      </c>
    </row>
    <row r="247" customFormat="false" ht="15" hidden="false" customHeight="false" outlineLevel="0" collapsed="false">
      <c r="A247" s="14" t="n">
        <v>246</v>
      </c>
      <c r="B247" s="14" t="n">
        <v>4</v>
      </c>
      <c r="C247" s="14" t="s">
        <v>33</v>
      </c>
      <c r="D247" s="15" t="n">
        <v>7081.05484693878</v>
      </c>
      <c r="E247" s="16" t="n">
        <f aca="false">INDEX(Parâmetros!$C$33:$C$37,MATCH(B247,Parâmetros!$A$33:$A$37,0))</f>
        <v>8837.10512820513</v>
      </c>
      <c r="F247" s="7" t="n">
        <f aca="false">MAX(0,(E247-D247)/D247)</f>
        <v>0.247992752382862</v>
      </c>
      <c r="G247" s="7" t="n">
        <f aca="false">MIN(K247*Parâmetros!$B$19,Parâmetros!$B$8)</f>
        <v>0.100053508467635</v>
      </c>
      <c r="H247" s="3" t="str">
        <f aca="false">IF(F247&gt;=Parâmetros!$B$6,"Ação","Acompanhamento")</f>
        <v>Ação</v>
      </c>
      <c r="I247" s="17" t="n">
        <v>303.779193205945</v>
      </c>
      <c r="J247" s="11" t="n">
        <f aca="false">D247*I247</f>
        <v>2151077.12845011</v>
      </c>
      <c r="K247" s="7" t="n">
        <f aca="false">Parâmetros!$B$4+Parâmetros!$B$5*F247</f>
        <v>0.0819981880957155</v>
      </c>
      <c r="L247" s="11" t="n">
        <f aca="false">D247*(1+G247)</f>
        <v>7789.53922802675</v>
      </c>
      <c r="M247" s="14" t="n">
        <v>0</v>
      </c>
      <c r="N247" s="4" t="n">
        <v>1</v>
      </c>
      <c r="O247" s="3" t="str">
        <f aca="false">IF(AND(B247=4,M247=1),IF(N247&lt;0.8,"Subgrupo 7 dias; fronteira de cluster","Subgrupo 7 dias"),IF(N247&lt;0.8,"Fronteira de cluster",""))</f>
        <v/>
      </c>
    </row>
    <row r="248" customFormat="false" ht="15" hidden="false" customHeight="false" outlineLevel="0" collapsed="false">
      <c r="A248" s="14" t="n">
        <v>247</v>
      </c>
      <c r="B248" s="14" t="n">
        <v>0</v>
      </c>
      <c r="C248" s="14" t="s">
        <v>29</v>
      </c>
      <c r="D248" s="15" t="n">
        <v>8576.71062740077</v>
      </c>
      <c r="E248" s="16" t="n">
        <f aca="false">INDEX(Parâmetros!$C$33:$C$37,MATCH(B248,Parâmetros!$A$33:$A$37,0))</f>
        <v>5476.37033462034</v>
      </c>
      <c r="F248" s="7" t="n">
        <f aca="false">MAX(0,(E248-D248)/D248)</f>
        <v>0</v>
      </c>
      <c r="G248" s="7" t="n">
        <f aca="false">MIN(K248*Parâmetros!$B$19,Parâmetros!$B$8)</f>
        <v>0.0244038339849275</v>
      </c>
      <c r="H248" s="3" t="str">
        <f aca="false">IF(F248&gt;=Parâmetros!$B$6,"Ação","Acompanhamento")</f>
        <v>Acompanhamento</v>
      </c>
      <c r="I248" s="17" t="n">
        <v>302.616772823779</v>
      </c>
      <c r="J248" s="11" t="n">
        <f aca="false">D248*I248</f>
        <v>2595456.49150743</v>
      </c>
      <c r="K248" s="7" t="n">
        <f aca="false">Parâmetros!$B$4+Parâmetros!$B$5*F248</f>
        <v>0.02</v>
      </c>
      <c r="L248" s="11" t="n">
        <f aca="false">D248*(1+G248)</f>
        <v>8786.01524968862</v>
      </c>
      <c r="M248" s="14" t="n">
        <v>0</v>
      </c>
      <c r="N248" s="4" t="n">
        <v>0.904761904761905</v>
      </c>
      <c r="O248" s="3" t="str">
        <f aca="false">IF(AND(B248=4,M248=1),IF(N248&lt;0.8,"Subgrupo 7 dias; fronteira de cluster","Subgrupo 7 dias"),IF(N248&lt;0.8,"Fronteira de cluster",""))</f>
        <v/>
      </c>
    </row>
    <row r="249" customFormat="false" ht="15" hidden="false" customHeight="false" outlineLevel="0" collapsed="false">
      <c r="A249" s="14" t="n">
        <v>248</v>
      </c>
      <c r="B249" s="14" t="n">
        <v>2</v>
      </c>
      <c r="C249" s="14" t="s">
        <v>31</v>
      </c>
      <c r="D249" s="15" t="n">
        <v>8362.17091836735</v>
      </c>
      <c r="E249" s="16" t="n">
        <f aca="false">INDEX(Parâmetros!$C$33:$C$37,MATCH(B249,Parâmetros!$A$33:$A$37,0))</f>
        <v>6324.80102695764</v>
      </c>
      <c r="F249" s="7" t="n">
        <f aca="false">MAX(0,(E249-D249)/D249)</f>
        <v>0</v>
      </c>
      <c r="G249" s="7" t="n">
        <f aca="false">MIN(K249*Parâmetros!$B$19,Parâmetros!$B$8)</f>
        <v>0.0244038339849275</v>
      </c>
      <c r="H249" s="3" t="str">
        <f aca="false">IF(F249&gt;=Parâmetros!$B$6,"Ação","Acompanhamento")</f>
        <v>Acompanhamento</v>
      </c>
      <c r="I249" s="17" t="n">
        <v>303.779193205945</v>
      </c>
      <c r="J249" s="11" t="n">
        <f aca="false">D249*I249</f>
        <v>2540253.53503185</v>
      </c>
      <c r="K249" s="7" t="n">
        <f aca="false">Parâmetros!$B$4+Parâmetros!$B$5*F249</f>
        <v>0.02</v>
      </c>
      <c r="L249" s="11" t="n">
        <f aca="false">D249*(1+G249)</f>
        <v>8566.23994921277</v>
      </c>
      <c r="M249" s="14" t="n">
        <v>0</v>
      </c>
      <c r="N249" s="4" t="n">
        <v>1</v>
      </c>
      <c r="O249" s="3" t="str">
        <f aca="false">IF(AND(B249=4,M249=1),IF(N249&lt;0.8,"Subgrupo 7 dias; fronteira de cluster","Subgrupo 7 dias"),IF(N249&lt;0.8,"Fronteira de cluster",""))</f>
        <v/>
      </c>
    </row>
    <row r="250" customFormat="false" ht="15" hidden="false" customHeight="false" outlineLevel="0" collapsed="false">
      <c r="A250" s="14" t="n">
        <v>249</v>
      </c>
      <c r="B250" s="14" t="n">
        <v>1</v>
      </c>
      <c r="C250" s="14" t="s">
        <v>30</v>
      </c>
      <c r="D250" s="15" t="n">
        <v>5285.82397959184</v>
      </c>
      <c r="E250" s="16" t="n">
        <f aca="false">INDEX(Parâmetros!$C$33:$C$37,MATCH(B250,Parâmetros!$A$33:$A$37,0))</f>
        <v>6959.92435130262</v>
      </c>
      <c r="F250" s="7" t="n">
        <f aca="false">MAX(0,(E250-D250)/D250)</f>
        <v>0.316715119189432</v>
      </c>
      <c r="G250" s="7" t="n">
        <f aca="false">MIN(K250*Parâmetros!$B$19,Parâmetros!$B$8)</f>
        <v>0.12101712385012</v>
      </c>
      <c r="H250" s="3" t="str">
        <f aca="false">IF(F250&gt;=Parâmetros!$B$6,"Ação","Acompanhamento")</f>
        <v>Ação</v>
      </c>
      <c r="I250" s="17" t="n">
        <v>303.779193205945</v>
      </c>
      <c r="J250" s="11" t="n">
        <f aca="false">D250*I250</f>
        <v>1605723.34394904</v>
      </c>
      <c r="K250" s="7" t="n">
        <f aca="false">Parâmetros!$B$4+Parâmetros!$B$5*F250</f>
        <v>0.0991787797973579</v>
      </c>
      <c r="L250" s="11" t="n">
        <f aca="false">D250*(1+G250)</f>
        <v>5925.49919478004</v>
      </c>
      <c r="M250" s="14" t="n">
        <v>0</v>
      </c>
      <c r="N250" s="4" t="n">
        <v>0.961038961038961</v>
      </c>
      <c r="O250" s="3" t="str">
        <f aca="false">IF(AND(B250=4,M250=1),IF(N250&lt;0.8,"Subgrupo 7 dias; fronteira de cluster","Subgrupo 7 dias"),IF(N250&lt;0.8,"Fronteira de cluster",""))</f>
        <v/>
      </c>
    </row>
    <row r="251" customFormat="false" ht="15" hidden="false" customHeight="false" outlineLevel="0" collapsed="false">
      <c r="A251" s="14" t="n">
        <v>250</v>
      </c>
      <c r="B251" s="14" t="n">
        <v>1</v>
      </c>
      <c r="C251" s="14" t="s">
        <v>30</v>
      </c>
      <c r="D251" s="15" t="n">
        <v>8470.62355953905</v>
      </c>
      <c r="E251" s="16" t="n">
        <f aca="false">INDEX(Parâmetros!$C$33:$C$37,MATCH(B251,Parâmetros!$A$33:$A$37,0))</f>
        <v>6959.92435130262</v>
      </c>
      <c r="F251" s="7" t="n">
        <f aca="false">MAX(0,(E251-D251)/D251)</f>
        <v>0</v>
      </c>
      <c r="G251" s="7" t="n">
        <f aca="false">MIN(K251*Parâmetros!$B$19,Parâmetros!$B$8)</f>
        <v>0.0244038339849275</v>
      </c>
      <c r="H251" s="3" t="str">
        <f aca="false">IF(F251&gt;=Parâmetros!$B$6,"Ação","Acompanhamento")</f>
        <v>Acompanhamento</v>
      </c>
      <c r="I251" s="17" t="n">
        <v>302.616772823779</v>
      </c>
      <c r="J251" s="11" t="n">
        <f aca="false">D251*I251</f>
        <v>2563352.76539278</v>
      </c>
      <c r="K251" s="7" t="n">
        <f aca="false">Parâmetros!$B$4+Parâmetros!$B$5*F251</f>
        <v>0.02</v>
      </c>
      <c r="L251" s="11" t="n">
        <f aca="false">D251*(1+G251)</f>
        <v>8677.33925063486</v>
      </c>
      <c r="M251" s="14" t="n">
        <v>0</v>
      </c>
      <c r="N251" s="4" t="n">
        <v>1</v>
      </c>
      <c r="O251" s="3" t="str">
        <f aca="false">IF(AND(B251=4,M251=1),IF(N251&lt;0.8,"Subgrupo 7 dias; fronteira de cluster","Subgrupo 7 dias"),IF(N251&lt;0.8,"Fronteira de cluster",""))</f>
        <v/>
      </c>
    </row>
    <row r="252" customFormat="false" ht="15" hidden="false" customHeight="false" outlineLevel="0" collapsed="false">
      <c r="A252" s="14" t="n">
        <v>251</v>
      </c>
      <c r="B252" s="14" t="n">
        <v>4</v>
      </c>
      <c r="C252" s="14" t="s">
        <v>33</v>
      </c>
      <c r="D252" s="15" t="n">
        <v>19123.0680359435</v>
      </c>
      <c r="E252" s="16" t="n">
        <f aca="false">INDEX(Parâmetros!$C$33:$C$37,MATCH(B252,Parâmetros!$A$33:$A$37,0))</f>
        <v>8837.10512820513</v>
      </c>
      <c r="F252" s="7" t="n">
        <f aca="false">MAX(0,(E252-D252)/D252)</f>
        <v>0</v>
      </c>
      <c r="G252" s="7" t="n">
        <f aca="false">MIN(K252*Parâmetros!$B$19,Parâmetros!$B$8)</f>
        <v>0.0244038339849275</v>
      </c>
      <c r="H252" s="3" t="str">
        <f aca="false">IF(F252&gt;=Parâmetros!$B$6,"Ação","Acompanhamento")</f>
        <v>Acompanhamento</v>
      </c>
      <c r="I252" s="17" t="n">
        <v>301.841825902336</v>
      </c>
      <c r="J252" s="11" t="n">
        <f aca="false">D252*I252</f>
        <v>5772141.77282378</v>
      </c>
      <c r="K252" s="7" t="n">
        <f aca="false">Parâmetros!$B$4+Parâmetros!$B$5*F252</f>
        <v>0.02</v>
      </c>
      <c r="L252" s="11" t="n">
        <f aca="false">D252*(1+G252)</f>
        <v>19589.7442135752</v>
      </c>
      <c r="M252" s="14" t="n">
        <v>0</v>
      </c>
      <c r="N252" s="4" t="n">
        <v>1</v>
      </c>
      <c r="O252" s="3" t="str">
        <f aca="false">IF(AND(B252=4,M252=1),IF(N252&lt;0.8,"Subgrupo 7 dias; fronteira de cluster","Subgrupo 7 dias"),IF(N252&lt;0.8,"Fronteira de cluster",""))</f>
        <v/>
      </c>
    </row>
    <row r="253" customFormat="false" ht="15" hidden="false" customHeight="false" outlineLevel="0" collapsed="false">
      <c r="A253" s="14" t="n">
        <v>252</v>
      </c>
      <c r="B253" s="14" t="n">
        <v>1</v>
      </c>
      <c r="C253" s="14" t="s">
        <v>30</v>
      </c>
      <c r="D253" s="15" t="n">
        <v>10615.512195122</v>
      </c>
      <c r="E253" s="16" t="n">
        <f aca="false">INDEX(Parâmetros!$C$33:$C$37,MATCH(B253,Parâmetros!$A$33:$A$37,0))</f>
        <v>6959.92435130262</v>
      </c>
      <c r="F253" s="7" t="n">
        <f aca="false">MAX(0,(E253-D253)/D253)</f>
        <v>0</v>
      </c>
      <c r="G253" s="7" t="n">
        <f aca="false">MIN(K253*Parâmetros!$B$19,Parâmetros!$B$8)</f>
        <v>0.0244038339849275</v>
      </c>
      <c r="H253" s="3" t="str">
        <f aca="false">IF(F253&gt;=Parâmetros!$B$6,"Ação","Acompanhamento")</f>
        <v>Acompanhamento</v>
      </c>
      <c r="I253" s="17" t="n">
        <v>301.841825902336</v>
      </c>
      <c r="J253" s="11" t="n">
        <f aca="false">D253*I253</f>
        <v>3204205.58386412</v>
      </c>
      <c r="K253" s="7" t="n">
        <f aca="false">Parâmetros!$B$4+Parâmetros!$B$5*F253</f>
        <v>0.02</v>
      </c>
      <c r="L253" s="11" t="n">
        <f aca="false">D253*(1+G253)</f>
        <v>10874.5713923967</v>
      </c>
      <c r="M253" s="14" t="n">
        <v>0</v>
      </c>
      <c r="N253" s="4" t="n">
        <v>1</v>
      </c>
      <c r="O253" s="3" t="str">
        <f aca="false">IF(AND(B253=4,M253=1),IF(N253&lt;0.8,"Subgrupo 7 dias; fronteira de cluster","Subgrupo 7 dias"),IF(N253&lt;0.8,"Fronteira de cluster",""))</f>
        <v/>
      </c>
    </row>
    <row r="254" customFormat="false" ht="15" hidden="false" customHeight="false" outlineLevel="0" collapsed="false">
      <c r="A254" s="14" t="n">
        <v>253</v>
      </c>
      <c r="B254" s="14" t="n">
        <v>0</v>
      </c>
      <c r="C254" s="14" t="s">
        <v>29</v>
      </c>
      <c r="D254" s="15" t="n">
        <v>5746.72400513479</v>
      </c>
      <c r="E254" s="16" t="n">
        <f aca="false">INDEX(Parâmetros!$C$33:$C$37,MATCH(B254,Parâmetros!$A$33:$A$37,0))</f>
        <v>5476.37033462034</v>
      </c>
      <c r="F254" s="7" t="n">
        <f aca="false">MAX(0,(E254-D254)/D254)</f>
        <v>0</v>
      </c>
      <c r="G254" s="7" t="n">
        <f aca="false">MIN(K254*Parâmetros!$B$19,Parâmetros!$B$8)</f>
        <v>0.0244038339849275</v>
      </c>
      <c r="H254" s="3" t="str">
        <f aca="false">IF(F254&gt;=Parâmetros!$B$6,"Ação","Acompanhamento")</f>
        <v>Acompanhamento</v>
      </c>
      <c r="I254" s="17" t="n">
        <v>301.841825902336</v>
      </c>
      <c r="J254" s="11" t="n">
        <f aca="false">D254*I254</f>
        <v>1734601.66666667</v>
      </c>
      <c r="K254" s="7" t="n">
        <f aca="false">Parâmetros!$B$4+Parâmetros!$B$5*F254</f>
        <v>0.02</v>
      </c>
      <c r="L254" s="11" t="n">
        <f aca="false">D254*(1+G254)</f>
        <v>5886.9661037133</v>
      </c>
      <c r="M254" s="14" t="n">
        <v>0</v>
      </c>
      <c r="N254" s="4" t="n">
        <v>0.481012658227848</v>
      </c>
      <c r="O254" s="3" t="str">
        <f aca="false">IF(AND(B254=4,M254=1),IF(N254&lt;0.8,"Subgrupo 7 dias; fronteira de cluster","Subgrupo 7 dias"),IF(N254&lt;0.8,"Fronteira de cluster",""))</f>
        <v>Fronteira de cluster</v>
      </c>
    </row>
    <row r="255" customFormat="false" ht="15" hidden="false" customHeight="false" outlineLevel="0" collapsed="false">
      <c r="A255" s="14" t="n">
        <v>254</v>
      </c>
      <c r="B255" s="14" t="n">
        <v>0</v>
      </c>
      <c r="C255" s="14" t="s">
        <v>29</v>
      </c>
      <c r="D255" s="15" t="n">
        <v>3005.98331193838</v>
      </c>
      <c r="E255" s="16" t="n">
        <f aca="false">INDEX(Parâmetros!$C$33:$C$37,MATCH(B255,Parâmetros!$A$33:$A$37,0))</f>
        <v>5476.37033462034</v>
      </c>
      <c r="F255" s="7" t="n">
        <f aca="false">MAX(0,(E255-D255)/D255)</f>
        <v>0.821823265907935</v>
      </c>
      <c r="G255" s="7" t="n">
        <f aca="false">MIN(K255*Parâmetros!$B$19,Parâmetros!$B$8)</f>
        <v>0.2</v>
      </c>
      <c r="H255" s="3" t="str">
        <f aca="false">IF(F255&gt;=Parâmetros!$B$6,"Ação","Acompanhamento")</f>
        <v>Ação</v>
      </c>
      <c r="I255" s="17" t="n">
        <v>301.841825902336</v>
      </c>
      <c r="J255" s="11" t="n">
        <f aca="false">D255*I255</f>
        <v>907331.491507431</v>
      </c>
      <c r="K255" s="7" t="n">
        <f aca="false">Parâmetros!$B$4+Parâmetros!$B$5*F255</f>
        <v>0.225455816476984</v>
      </c>
      <c r="L255" s="11" t="n">
        <f aca="false">D255*(1+G255)</f>
        <v>3607.17997432606</v>
      </c>
      <c r="M255" s="14" t="n">
        <v>0</v>
      </c>
      <c r="N255" s="4" t="n">
        <v>1</v>
      </c>
      <c r="O255" s="3" t="str">
        <f aca="false">IF(AND(B255=4,M255=1),IF(N255&lt;0.8,"Subgrupo 7 dias; fronteira de cluster","Subgrupo 7 dias"),IF(N255&lt;0.8,"Fronteira de cluster",""))</f>
        <v/>
      </c>
    </row>
    <row r="256" customFormat="false" ht="15" hidden="false" customHeight="false" outlineLevel="0" collapsed="false">
      <c r="A256" s="14" t="n">
        <v>255</v>
      </c>
      <c r="B256" s="14" t="n">
        <v>1</v>
      </c>
      <c r="C256" s="14" t="s">
        <v>30</v>
      </c>
      <c r="D256" s="15" t="n">
        <v>6271.13093709885</v>
      </c>
      <c r="E256" s="16" t="n">
        <f aca="false">INDEX(Parâmetros!$C$33:$C$37,MATCH(B256,Parâmetros!$A$33:$A$37,0))</f>
        <v>6959.92435130262</v>
      </c>
      <c r="F256" s="7" t="n">
        <f aca="false">MAX(0,(E256-D256)/D256)</f>
        <v>0.109835597615895</v>
      </c>
      <c r="G256" s="7" t="n">
        <f aca="false">MIN(K256*Parâmetros!$B$19,Parâmetros!$B$8)</f>
        <v>0.0579089551080973</v>
      </c>
      <c r="H256" s="3" t="str">
        <f aca="false">IF(F256&gt;=Parâmetros!$B$6,"Ação","Acompanhamento")</f>
        <v>Ação</v>
      </c>
      <c r="I256" s="17" t="n">
        <v>301.841825902336</v>
      </c>
      <c r="J256" s="11" t="n">
        <f aca="false">D256*I256</f>
        <v>1892889.61252654</v>
      </c>
      <c r="K256" s="7" t="n">
        <f aca="false">Parâmetros!$B$4+Parâmetros!$B$5*F256</f>
        <v>0.0474588994039736</v>
      </c>
      <c r="L256" s="11" t="n">
        <f aca="false">D256*(1+G256)</f>
        <v>6634.2855770123</v>
      </c>
      <c r="M256" s="14" t="n">
        <v>0</v>
      </c>
      <c r="N256" s="4" t="n">
        <v>1</v>
      </c>
      <c r="O256" s="3" t="str">
        <f aca="false">IF(AND(B256=4,M256=1),IF(N256&lt;0.8,"Subgrupo 7 dias; fronteira de cluster","Subgrupo 7 dias"),IF(N256&lt;0.8,"Fronteira de cluster",""))</f>
        <v/>
      </c>
    </row>
    <row r="257" customFormat="false" ht="15" hidden="false" customHeight="false" outlineLevel="0" collapsed="false">
      <c r="A257" s="14" t="n">
        <v>256</v>
      </c>
      <c r="B257" s="14" t="n">
        <v>4</v>
      </c>
      <c r="C257" s="14" t="s">
        <v>33</v>
      </c>
      <c r="D257" s="15" t="n">
        <v>9832.87886597938</v>
      </c>
      <c r="E257" s="16" t="n">
        <f aca="false">INDEX(Parâmetros!$C$33:$C$37,MATCH(B257,Parâmetros!$A$33:$A$37,0))</f>
        <v>8837.10512820513</v>
      </c>
      <c r="F257" s="7" t="n">
        <f aca="false">MAX(0,(E257-D257)/D257)</f>
        <v>0</v>
      </c>
      <c r="G257" s="7" t="n">
        <f aca="false">MIN(K257*Parâmetros!$B$19,Parâmetros!$B$8)</f>
        <v>0.0244038339849275</v>
      </c>
      <c r="H257" s="3" t="str">
        <f aca="false">IF(F257&gt;=Parâmetros!$B$6,"Ação","Acompanhamento")</f>
        <v>Acompanhamento</v>
      </c>
      <c r="I257" s="17" t="n">
        <v>300.67940552017</v>
      </c>
      <c r="J257" s="11" t="n">
        <f aca="false">D257*I257</f>
        <v>2956544.17197452</v>
      </c>
      <c r="K257" s="7" t="n">
        <f aca="false">Parâmetros!$B$4+Parâmetros!$B$5*F257</f>
        <v>0.02</v>
      </c>
      <c r="L257" s="11" t="n">
        <f aca="false">D257*(1+G257)</f>
        <v>10072.8388094186</v>
      </c>
      <c r="M257" s="14" t="n">
        <v>0</v>
      </c>
      <c r="N257" s="4" t="n">
        <v>0.875</v>
      </c>
      <c r="O257" s="3" t="str">
        <f aca="false">IF(AND(B257=4,M257=1),IF(N257&lt;0.8,"Subgrupo 7 dias; fronteira de cluster","Subgrupo 7 dias"),IF(N257&lt;0.8,"Fronteira de cluster",""))</f>
        <v/>
      </c>
    </row>
    <row r="258" customFormat="false" ht="15" hidden="false" customHeight="false" outlineLevel="0" collapsed="false">
      <c r="A258" s="14" t="n">
        <v>257</v>
      </c>
      <c r="B258" s="14" t="n">
        <v>0</v>
      </c>
      <c r="C258" s="14" t="s">
        <v>29</v>
      </c>
      <c r="D258" s="15" t="n">
        <v>5335.58545918367</v>
      </c>
      <c r="E258" s="16" t="n">
        <f aca="false">INDEX(Parâmetros!$C$33:$C$37,MATCH(B258,Parâmetros!$A$33:$A$37,0))</f>
        <v>5476.37033462034</v>
      </c>
      <c r="F258" s="7" t="n">
        <f aca="false">MAX(0,(E258-D258)/D258)</f>
        <v>0.0263860220239451</v>
      </c>
      <c r="G258" s="7" t="n">
        <f aca="false">MIN(K258*Parâmetros!$B$19,Parâmetros!$B$8)</f>
        <v>0.0324528352473649</v>
      </c>
      <c r="H258" s="3" t="str">
        <f aca="false">IF(F258&gt;=Parâmetros!$B$6,"Ação","Acompanhamento")</f>
        <v>Acompanhamento</v>
      </c>
      <c r="I258" s="17" t="n">
        <v>303.779193205945</v>
      </c>
      <c r="J258" s="11" t="n">
        <f aca="false">D258*I258</f>
        <v>1620839.84607219</v>
      </c>
      <c r="K258" s="7" t="n">
        <f aca="false">Parâmetros!$B$4+Parâmetros!$B$5*F258</f>
        <v>0.0265965055059863</v>
      </c>
      <c r="L258" s="11" t="n">
        <f aca="false">D258*(1+G258)</f>
        <v>5508.7403350388</v>
      </c>
      <c r="M258" s="14" t="n">
        <v>0</v>
      </c>
      <c r="N258" s="4" t="n">
        <v>1</v>
      </c>
      <c r="O258" s="3" t="str">
        <f aca="false">IF(AND(B258=4,M258=1),IF(N258&lt;0.8,"Subgrupo 7 dias; fronteira de cluster","Subgrupo 7 dias"),IF(N258&lt;0.8,"Fronteira de cluster",""))</f>
        <v/>
      </c>
    </row>
    <row r="259" customFormat="false" ht="15" hidden="false" customHeight="false" outlineLevel="0" collapsed="false">
      <c r="A259" s="14" t="n">
        <v>258</v>
      </c>
      <c r="B259" s="14" t="n">
        <v>1</v>
      </c>
      <c r="C259" s="14" t="s">
        <v>30</v>
      </c>
      <c r="D259" s="15" t="n">
        <v>5642.09646302251</v>
      </c>
      <c r="E259" s="16" t="n">
        <f aca="false">INDEX(Parâmetros!$C$33:$C$37,MATCH(B259,Parâmetros!$A$33:$A$37,0))</f>
        <v>6959.92435130262</v>
      </c>
      <c r="F259" s="7" t="n">
        <f aca="false">MAX(0,(E259-D259)/D259)</f>
        <v>0.233570605698958</v>
      </c>
      <c r="G259" s="7" t="n">
        <f aca="false">MIN(K259*Parâmetros!$B$19,Parâmetros!$B$8)</f>
        <v>0.0956540625503813</v>
      </c>
      <c r="H259" s="3" t="str">
        <f aca="false">IF(F259&gt;=Parâmetros!$B$6,"Ação","Acompanhamento")</f>
        <v>Ação</v>
      </c>
      <c r="I259" s="17" t="n">
        <v>299.511873350924</v>
      </c>
      <c r="J259" s="11" t="n">
        <f aca="false">D259*I259</f>
        <v>1689874.88126649</v>
      </c>
      <c r="K259" s="7" t="n">
        <f aca="false">Parâmetros!$B$4+Parâmetros!$B$5*F259</f>
        <v>0.0783926514247394</v>
      </c>
      <c r="L259" s="11" t="n">
        <f aca="false">D259*(1+G259)</f>
        <v>6181.78591101175</v>
      </c>
      <c r="M259" s="14" t="n">
        <v>0</v>
      </c>
      <c r="N259" s="4" t="n">
        <v>1</v>
      </c>
      <c r="O259" s="3" t="str">
        <f aca="false">IF(AND(B259=4,M259=1),IF(N259&lt;0.8,"Subgrupo 7 dias; fronteira de cluster","Subgrupo 7 dias"),IF(N259&lt;0.8,"Fronteira de cluster",""))</f>
        <v/>
      </c>
    </row>
    <row r="260" customFormat="false" ht="15" hidden="false" customHeight="false" outlineLevel="0" collapsed="false">
      <c r="A260" s="14" t="n">
        <v>259</v>
      </c>
      <c r="B260" s="14" t="n">
        <v>4</v>
      </c>
      <c r="C260" s="14" t="s">
        <v>33</v>
      </c>
      <c r="D260" s="15" t="n">
        <v>11656.1450053706</v>
      </c>
      <c r="E260" s="16" t="n">
        <f aca="false">INDEX(Parâmetros!$C$33:$C$37,MATCH(B260,Parâmetros!$A$33:$A$37,0))</f>
        <v>8837.10512820513</v>
      </c>
      <c r="F260" s="7" t="n">
        <f aca="false">MAX(0,(E260-D260)/D260)</f>
        <v>0</v>
      </c>
      <c r="G260" s="7" t="n">
        <f aca="false">MIN(K260*Parâmetros!$B$19,Parâmetros!$B$8)</f>
        <v>0.0244038339849275</v>
      </c>
      <c r="H260" s="3" t="str">
        <f aca="false">IF(F260&gt;=Parâmetros!$B$6,"Ação","Acompanhamento")</f>
        <v>Acompanhamento</v>
      </c>
      <c r="I260" s="17" t="n">
        <v>361.125265392781</v>
      </c>
      <c r="J260" s="11" t="n">
        <f aca="false">D260*I260</f>
        <v>4209328.45852119</v>
      </c>
      <c r="K260" s="7" t="n">
        <f aca="false">Parâmetros!$B$4+Parâmetros!$B$5*F260</f>
        <v>0.02</v>
      </c>
      <c r="L260" s="11" t="n">
        <f aca="false">D260*(1+G260)</f>
        <v>11940.5996329859</v>
      </c>
      <c r="M260" s="14" t="n">
        <v>1</v>
      </c>
      <c r="N260" s="4" t="n">
        <v>1</v>
      </c>
      <c r="O260" s="3" t="str">
        <f aca="false">IF(AND(B260=4,M260=1),IF(N260&lt;0.8,"Subgrupo 7 dias; fronteira de cluster","Subgrupo 7 dias"),IF(N260&lt;0.8,"Fronteira de cluster",""))</f>
        <v>Subgrupo 7 dias</v>
      </c>
    </row>
    <row r="261" customFormat="false" ht="15" hidden="false" customHeight="false" outlineLevel="0" collapsed="false">
      <c r="A261" s="14" t="n">
        <v>260</v>
      </c>
      <c r="B261" s="14" t="n">
        <v>4</v>
      </c>
      <c r="C261" s="14" t="s">
        <v>33</v>
      </c>
      <c r="D261" s="15" t="n">
        <v>6559.99744897959</v>
      </c>
      <c r="E261" s="16" t="n">
        <f aca="false">INDEX(Parâmetros!$C$33:$C$37,MATCH(B261,Parâmetros!$A$33:$A$37,0))</f>
        <v>8837.10512820513</v>
      </c>
      <c r="F261" s="7" t="n">
        <f aca="false">MAX(0,(E261-D261)/D261)</f>
        <v>0.347120208039066</v>
      </c>
      <c r="G261" s="7" t="n">
        <f aca="false">MIN(K261*Parâmetros!$B$19,Parâmetros!$B$8)</f>
        <v>0.130292133107413</v>
      </c>
      <c r="H261" s="3" t="str">
        <f aca="false">IF(F261&gt;=Parâmetros!$B$6,"Ação","Acompanhamento")</f>
        <v>Ação</v>
      </c>
      <c r="I261" s="17" t="n">
        <v>303.779193205945</v>
      </c>
      <c r="J261" s="11" t="n">
        <f aca="false">D261*I261</f>
        <v>1992790.73248408</v>
      </c>
      <c r="K261" s="7" t="n">
        <f aca="false">Parâmetros!$B$4+Parâmetros!$B$5*F261</f>
        <v>0.106780052009766</v>
      </c>
      <c r="L261" s="11" t="n">
        <f aca="false">D261*(1+G261)</f>
        <v>7414.71350978633</v>
      </c>
      <c r="M261" s="14" t="n">
        <v>0</v>
      </c>
      <c r="N261" s="4" t="n">
        <v>1</v>
      </c>
      <c r="O261" s="3" t="str">
        <f aca="false">IF(AND(B261=4,M261=1),IF(N261&lt;0.8,"Subgrupo 7 dias; fronteira de cluster","Subgrupo 7 dias"),IF(N261&lt;0.8,"Fronteira de cluster",""))</f>
        <v/>
      </c>
    </row>
    <row r="262" customFormat="false" ht="15" hidden="false" customHeight="false" outlineLevel="0" collapsed="false">
      <c r="A262" s="14" t="n">
        <v>261</v>
      </c>
      <c r="B262" s="14" t="n">
        <v>3</v>
      </c>
      <c r="C262" s="14" t="s">
        <v>32</v>
      </c>
      <c r="D262" s="15" t="n">
        <v>12616.4878048781</v>
      </c>
      <c r="E262" s="16" t="n">
        <f aca="false">INDEX(Parâmetros!$C$33:$C$37,MATCH(B262,Parâmetros!$A$33:$A$37,0))</f>
        <v>5909.24487179487</v>
      </c>
      <c r="F262" s="7" t="n">
        <f aca="false">MAX(0,(E262-D262)/D262)</f>
        <v>0</v>
      </c>
      <c r="G262" s="7" t="n">
        <f aca="false">MIN(K262*Parâmetros!$B$19,Parâmetros!$B$8)</f>
        <v>0.0244038339849275</v>
      </c>
      <c r="H262" s="3" t="str">
        <f aca="false">IF(F262&gt;=Parâmetros!$B$6,"Ação","Acompanhamento")</f>
        <v>Acompanhamento</v>
      </c>
      <c r="I262" s="17" t="n">
        <v>301.841825902336</v>
      </c>
      <c r="J262" s="11" t="n">
        <f aca="false">D262*I262</f>
        <v>3808183.71549894</v>
      </c>
      <c r="K262" s="7" t="n">
        <f aca="false">Parâmetros!$B$4+Parâmetros!$B$5*F262</f>
        <v>0.02</v>
      </c>
      <c r="L262" s="11" t="n">
        <f aca="false">D262*(1+G262)</f>
        <v>12924.3784787412</v>
      </c>
      <c r="M262" s="14" t="n">
        <v>0</v>
      </c>
      <c r="N262" s="4" t="n">
        <v>1</v>
      </c>
      <c r="O262" s="3" t="str">
        <f aca="false">IF(AND(B262=4,M262=1),IF(N262&lt;0.8,"Subgrupo 7 dias; fronteira de cluster","Subgrupo 7 dias"),IF(N262&lt;0.8,"Fronteira de cluster",""))</f>
        <v/>
      </c>
    </row>
    <row r="263" customFormat="false" ht="15" hidden="false" customHeight="false" outlineLevel="0" collapsed="false">
      <c r="A263" s="14" t="n">
        <v>262</v>
      </c>
      <c r="B263" s="14" t="n">
        <v>4</v>
      </c>
      <c r="C263" s="14" t="s">
        <v>33</v>
      </c>
      <c r="D263" s="15" t="n">
        <v>20718.5159235669</v>
      </c>
      <c r="E263" s="16" t="n">
        <f aca="false">INDEX(Parâmetros!$C$33:$C$37,MATCH(B263,Parâmetros!$A$33:$A$37,0))</f>
        <v>8837.10512820513</v>
      </c>
      <c r="F263" s="7" t="n">
        <f aca="false">MAX(0,(E263-D263)/D263)</f>
        <v>0</v>
      </c>
      <c r="G263" s="7" t="n">
        <f aca="false">MIN(K263*Parâmetros!$B$19,Parâmetros!$B$8)</f>
        <v>0.0244038339849275</v>
      </c>
      <c r="H263" s="3" t="str">
        <f aca="false">IF(F263&gt;=Parâmetros!$B$6,"Ação","Acompanhamento")</f>
        <v>Acompanhamento</v>
      </c>
      <c r="I263" s="17" t="n">
        <v>365</v>
      </c>
      <c r="J263" s="11" t="n">
        <f aca="false">D263*I263</f>
        <v>7562258.31210191</v>
      </c>
      <c r="K263" s="7" t="n">
        <f aca="false">Parâmetros!$B$4+Parâmetros!$B$5*F263</f>
        <v>0.02</v>
      </c>
      <c r="L263" s="11" t="n">
        <f aca="false">D263*(1+G263)</f>
        <v>21224.1271465797</v>
      </c>
      <c r="M263" s="14" t="n">
        <v>1</v>
      </c>
      <c r="N263" s="4" t="n">
        <v>1</v>
      </c>
      <c r="O263" s="3" t="str">
        <f aca="false">IF(AND(B263=4,M263=1),IF(N263&lt;0.8,"Subgrupo 7 dias; fronteira de cluster","Subgrupo 7 dias"),IF(N263&lt;0.8,"Fronteira de cluster",""))</f>
        <v>Subgrupo 7 dias</v>
      </c>
    </row>
    <row r="264" customFormat="false" ht="15" hidden="false" customHeight="false" outlineLevel="0" collapsed="false">
      <c r="A264" s="14" t="n">
        <v>263</v>
      </c>
      <c r="B264" s="14" t="n">
        <v>1</v>
      </c>
      <c r="C264" s="14" t="s">
        <v>30</v>
      </c>
      <c r="D264" s="15" t="n">
        <v>3707.51607717042</v>
      </c>
      <c r="E264" s="16" t="n">
        <f aca="false">INDEX(Parâmetros!$C$33:$C$37,MATCH(B264,Parâmetros!$A$33:$A$37,0))</f>
        <v>6959.92435130262</v>
      </c>
      <c r="F264" s="7" t="n">
        <f aca="false">MAX(0,(E264-D264)/D264)</f>
        <v>0.87724724760046</v>
      </c>
      <c r="G264" s="7" t="n">
        <f aca="false">MIN(K264*Parâmetros!$B$19,Parâmetros!$B$8)</f>
        <v>0.2</v>
      </c>
      <c r="H264" s="3" t="str">
        <f aca="false">IF(F264&gt;=Parâmetros!$B$6,"Ação","Acompanhamento")</f>
        <v>Ação</v>
      </c>
      <c r="I264" s="17" t="n">
        <v>299.511873350924</v>
      </c>
      <c r="J264" s="11" t="n">
        <f aca="false">D264*I264</f>
        <v>1110445.08575198</v>
      </c>
      <c r="K264" s="7" t="n">
        <f aca="false">Parâmetros!$B$4+Parâmetros!$B$5*F264</f>
        <v>0.239311811900115</v>
      </c>
      <c r="L264" s="11" t="n">
        <f aca="false">D264*(1+G264)</f>
        <v>4449.0192926045</v>
      </c>
      <c r="M264" s="14" t="n">
        <v>0</v>
      </c>
      <c r="N264" s="4" t="n">
        <v>0.905882352941176</v>
      </c>
      <c r="O264" s="3" t="str">
        <f aca="false">IF(AND(B264=4,M264=1),IF(N264&lt;0.8,"Subgrupo 7 dias; fronteira de cluster","Subgrupo 7 dias"),IF(N264&lt;0.8,"Fronteira de cluster",""))</f>
        <v/>
      </c>
    </row>
    <row r="265" customFormat="false" ht="15" hidden="false" customHeight="false" outlineLevel="0" collapsed="false">
      <c r="A265" s="14" t="n">
        <v>264</v>
      </c>
      <c r="B265" s="14" t="n">
        <v>0</v>
      </c>
      <c r="C265" s="14" t="s">
        <v>29</v>
      </c>
      <c r="D265" s="15" t="n">
        <v>7234.24015748032</v>
      </c>
      <c r="E265" s="16" t="n">
        <f aca="false">INDEX(Parâmetros!$C$33:$C$37,MATCH(B265,Parâmetros!$A$33:$A$37,0))</f>
        <v>5476.37033462034</v>
      </c>
      <c r="F265" s="7" t="n">
        <f aca="false">MAX(0,(E265-D265)/D265)</f>
        <v>0</v>
      </c>
      <c r="G265" s="7" t="n">
        <f aca="false">MIN(K265*Parâmetros!$B$19,Parâmetros!$B$8)</f>
        <v>0.0244038339849275</v>
      </c>
      <c r="H265" s="3" t="str">
        <f aca="false">IF(F265&gt;=Parâmetros!$B$6,"Ação","Acompanhamento")</f>
        <v>Acompanhamento</v>
      </c>
      <c r="I265" s="17" t="n">
        <v>295.254777070064</v>
      </c>
      <c r="J265" s="11" t="n">
        <f aca="false">D265*I265</f>
        <v>2135943.96496815</v>
      </c>
      <c r="K265" s="7" t="n">
        <f aca="false">Parâmetros!$B$4+Parâmetros!$B$5*F265</f>
        <v>0.02</v>
      </c>
      <c r="L265" s="11" t="n">
        <f aca="false">D265*(1+G265)</f>
        <v>7410.78335329056</v>
      </c>
      <c r="M265" s="14" t="n">
        <v>0</v>
      </c>
      <c r="N265" s="4" t="n">
        <v>0.631578947368421</v>
      </c>
      <c r="O265" s="3" t="str">
        <f aca="false">IF(AND(B265=4,M265=1),IF(N265&lt;0.8,"Subgrupo 7 dias; fronteira de cluster","Subgrupo 7 dias"),IF(N265&lt;0.8,"Fronteira de cluster",""))</f>
        <v>Fronteira de cluster</v>
      </c>
    </row>
    <row r="266" customFormat="false" ht="15" hidden="false" customHeight="false" outlineLevel="0" collapsed="false">
      <c r="A266" s="14" t="n">
        <v>265</v>
      </c>
      <c r="B266" s="14" t="n">
        <v>3</v>
      </c>
      <c r="C266" s="14" t="s">
        <v>32</v>
      </c>
      <c r="D266" s="15" t="n">
        <v>4954.82926829268</v>
      </c>
      <c r="E266" s="16" t="n">
        <f aca="false">INDEX(Parâmetros!$C$33:$C$37,MATCH(B266,Parâmetros!$A$33:$A$37,0))</f>
        <v>5909.24487179487</v>
      </c>
      <c r="F266" s="7" t="n">
        <f aca="false">MAX(0,(E266-D266)/D266)</f>
        <v>0.192623307852353</v>
      </c>
      <c r="G266" s="7" t="n">
        <f aca="false">MIN(K266*Parâmetros!$B$19,Parâmetros!$B$8)</f>
        <v>0.0831631743156323</v>
      </c>
      <c r="H266" s="3" t="str">
        <f aca="false">IF(F266&gt;=Parâmetros!$B$6,"Ação","Acompanhamento")</f>
        <v>Ação</v>
      </c>
      <c r="I266" s="17" t="n">
        <v>301.841825902336</v>
      </c>
      <c r="J266" s="11" t="n">
        <f aca="false">D266*I266</f>
        <v>1495574.7133758</v>
      </c>
      <c r="K266" s="7" t="n">
        <f aca="false">Parâmetros!$B$4+Parâmetros!$B$5*F266</f>
        <v>0.0681558269630882</v>
      </c>
      <c r="L266" s="11" t="n">
        <f aca="false">D266*(1+G266)</f>
        <v>5366.8885984359</v>
      </c>
      <c r="M266" s="14" t="n">
        <v>0</v>
      </c>
      <c r="N266" s="4" t="n">
        <v>1</v>
      </c>
      <c r="O266" s="3" t="str">
        <f aca="false">IF(AND(B266=4,M266=1),IF(N266&lt;0.8,"Subgrupo 7 dias; fronteira de cluster","Subgrupo 7 dias"),IF(N266&lt;0.8,"Fronteira de cluster",""))</f>
        <v/>
      </c>
    </row>
    <row r="267" customFormat="false" ht="15" hidden="false" customHeight="false" outlineLevel="0" collapsed="false">
      <c r="A267" s="14" t="n">
        <v>266</v>
      </c>
      <c r="B267" s="14" t="n">
        <v>0</v>
      </c>
      <c r="C267" s="14" t="s">
        <v>29</v>
      </c>
      <c r="D267" s="15" t="n">
        <v>4389.75769230769</v>
      </c>
      <c r="E267" s="16" t="n">
        <f aca="false">INDEX(Parâmetros!$C$33:$C$37,MATCH(B267,Parâmetros!$A$33:$A$37,0))</f>
        <v>5476.37033462034</v>
      </c>
      <c r="F267" s="7" t="n">
        <f aca="false">MAX(0,(E267-D267)/D267)</f>
        <v>0.247533626791462</v>
      </c>
      <c r="G267" s="7" t="n">
        <f aca="false">MIN(K267*Parâmetros!$B$19,Parâmetros!$B$8)</f>
        <v>0.0999134531587504</v>
      </c>
      <c r="H267" s="3" t="str">
        <f aca="false">IF(F267&gt;=Parâmetros!$B$6,"Ação","Acompanhamento")</f>
        <v>Ação</v>
      </c>
      <c r="I267" s="17" t="n">
        <v>302.229299363057</v>
      </c>
      <c r="J267" s="11" t="n">
        <f aca="false">D267*I267</f>
        <v>1326713.39171975</v>
      </c>
      <c r="K267" s="7" t="n">
        <f aca="false">Parâmetros!$B$4+Parâmetros!$B$5*F267</f>
        <v>0.0818834066978656</v>
      </c>
      <c r="L267" s="11" t="n">
        <f aca="false">D267*(1+G267)</f>
        <v>4828.35354187634</v>
      </c>
      <c r="M267" s="14" t="n">
        <v>0</v>
      </c>
      <c r="N267" s="4" t="n">
        <v>1</v>
      </c>
      <c r="O267" s="3" t="str">
        <f aca="false">IF(AND(B267=4,M267=1),IF(N267&lt;0.8,"Subgrupo 7 dias; fronteira de cluster","Subgrupo 7 dias"),IF(N267&lt;0.8,"Fronteira de cluster",""))</f>
        <v/>
      </c>
    </row>
    <row r="268" customFormat="false" ht="15" hidden="false" customHeight="false" outlineLevel="0" collapsed="false">
      <c r="A268" s="14" t="n">
        <v>267</v>
      </c>
      <c r="B268" s="14" t="n">
        <v>2</v>
      </c>
      <c r="C268" s="14" t="s">
        <v>31</v>
      </c>
      <c r="D268" s="15" t="n">
        <v>9289.16071428571</v>
      </c>
      <c r="E268" s="16" t="n">
        <f aca="false">INDEX(Parâmetros!$C$33:$C$37,MATCH(B268,Parâmetros!$A$33:$A$37,0))</f>
        <v>6324.80102695764</v>
      </c>
      <c r="F268" s="7" t="n">
        <f aca="false">MAX(0,(E268-D268)/D268)</f>
        <v>0</v>
      </c>
      <c r="G268" s="7" t="n">
        <f aca="false">MIN(K268*Parâmetros!$B$19,Parâmetros!$B$8)</f>
        <v>0.0244038339849275</v>
      </c>
      <c r="H268" s="3" t="str">
        <f aca="false">IF(F268&gt;=Parâmetros!$B$6,"Ação","Acompanhamento")</f>
        <v>Acompanhamento</v>
      </c>
      <c r="I268" s="17" t="n">
        <v>303.779193205945</v>
      </c>
      <c r="J268" s="11" t="n">
        <f aca="false">D268*I268</f>
        <v>2821853.74734607</v>
      </c>
      <c r="K268" s="7" t="n">
        <f aca="false">Parâmetros!$B$4+Parâmetros!$B$5*F268</f>
        <v>0.02</v>
      </c>
      <c r="L268" s="11" t="n">
        <f aca="false">D268*(1+G268)</f>
        <v>9515.85185021645</v>
      </c>
      <c r="M268" s="14" t="n">
        <v>0</v>
      </c>
      <c r="N268" s="4" t="n">
        <v>1</v>
      </c>
      <c r="O268" s="3" t="str">
        <f aca="false">IF(AND(B268=4,M268=1),IF(N268&lt;0.8,"Subgrupo 7 dias; fronteira de cluster","Subgrupo 7 dias"),IF(N268&lt;0.8,"Fronteira de cluster",""))</f>
        <v/>
      </c>
    </row>
    <row r="269" customFormat="false" ht="15" hidden="false" customHeight="false" outlineLevel="0" collapsed="false">
      <c r="A269" s="14" t="n">
        <v>268</v>
      </c>
      <c r="B269" s="14" t="n">
        <v>0</v>
      </c>
      <c r="C269" s="14" t="s">
        <v>29</v>
      </c>
      <c r="D269" s="15" t="n">
        <v>4881.17346938776</v>
      </c>
      <c r="E269" s="16" t="n">
        <f aca="false">INDEX(Parâmetros!$C$33:$C$37,MATCH(B269,Parâmetros!$A$33:$A$37,0))</f>
        <v>5476.37033462034</v>
      </c>
      <c r="F269" s="7" t="n">
        <f aca="false">MAX(0,(E269-D269)/D269)</f>
        <v>0.121937249099085</v>
      </c>
      <c r="G269" s="7" t="n">
        <f aca="false">MIN(K269*Parâmetros!$B$19,Parâmetros!$B$8)</f>
        <v>0.0616005387798376</v>
      </c>
      <c r="H269" s="3" t="str">
        <f aca="false">IF(F269&gt;=Parâmetros!$B$6,"Ação","Acompanhamento")</f>
        <v>Ação</v>
      </c>
      <c r="I269" s="17" t="n">
        <v>303.779193205945</v>
      </c>
      <c r="J269" s="11" t="n">
        <f aca="false">D269*I269</f>
        <v>1482798.93842887</v>
      </c>
      <c r="K269" s="7" t="n">
        <f aca="false">Parâmetros!$B$4+Parâmetros!$B$5*F269</f>
        <v>0.0504843122747712</v>
      </c>
      <c r="L269" s="11" t="n">
        <f aca="false">D269*(1+G269)</f>
        <v>5181.85638497989</v>
      </c>
      <c r="M269" s="14" t="n">
        <v>0</v>
      </c>
      <c r="N269" s="4" t="n">
        <v>0.946666666666667</v>
      </c>
      <c r="O269" s="3" t="str">
        <f aca="false">IF(AND(B269=4,M269=1),IF(N269&lt;0.8,"Subgrupo 7 dias; fronteira de cluster","Subgrupo 7 dias"),IF(N269&lt;0.8,"Fronteira de cluster",""))</f>
        <v/>
      </c>
    </row>
    <row r="270" customFormat="false" ht="15" hidden="false" customHeight="false" outlineLevel="0" collapsed="false">
      <c r="A270" s="14" t="n">
        <v>269</v>
      </c>
      <c r="B270" s="14" t="n">
        <v>0</v>
      </c>
      <c r="C270" s="14" t="s">
        <v>29</v>
      </c>
      <c r="D270" s="15" t="n">
        <v>9346.70603337612</v>
      </c>
      <c r="E270" s="16" t="n">
        <f aca="false">INDEX(Parâmetros!$C$33:$C$37,MATCH(B270,Parâmetros!$A$33:$A$37,0))</f>
        <v>5476.37033462034</v>
      </c>
      <c r="F270" s="7" t="n">
        <f aca="false">MAX(0,(E270-D270)/D270)</f>
        <v>0</v>
      </c>
      <c r="G270" s="7" t="n">
        <f aca="false">MIN(K270*Parâmetros!$B$19,Parâmetros!$B$8)</f>
        <v>0.0244038339849275</v>
      </c>
      <c r="H270" s="3" t="str">
        <f aca="false">IF(F270&gt;=Parâmetros!$B$6,"Ação","Acompanhamento")</f>
        <v>Acompanhamento</v>
      </c>
      <c r="I270" s="17" t="n">
        <v>301.841825902336</v>
      </c>
      <c r="J270" s="11" t="n">
        <f aca="false">D270*I270</f>
        <v>2821226.81528662</v>
      </c>
      <c r="K270" s="7" t="n">
        <f aca="false">Parâmetros!$B$4+Parâmetros!$B$5*F270</f>
        <v>0.02</v>
      </c>
      <c r="L270" s="11" t="n">
        <f aca="false">D270*(1+G270)</f>
        <v>9574.80149572055</v>
      </c>
      <c r="M270" s="14" t="n">
        <v>0</v>
      </c>
      <c r="N270" s="4" t="n">
        <v>0.9625</v>
      </c>
      <c r="O270" s="3" t="str">
        <f aca="false">IF(AND(B270=4,M270=1),IF(N270&lt;0.8,"Subgrupo 7 dias; fronteira de cluster","Subgrupo 7 dias"),IF(N270&lt;0.8,"Fronteira de cluster",""))</f>
        <v/>
      </c>
    </row>
    <row r="271" customFormat="false" ht="15" hidden="false" customHeight="false" outlineLevel="0" collapsed="false">
      <c r="A271" s="14" t="n">
        <v>270</v>
      </c>
      <c r="B271" s="14" t="n">
        <v>4</v>
      </c>
      <c r="C271" s="14" t="s">
        <v>33</v>
      </c>
      <c r="D271" s="15" t="n">
        <v>9291.6237244898</v>
      </c>
      <c r="E271" s="16" t="n">
        <f aca="false">INDEX(Parâmetros!$C$33:$C$37,MATCH(B271,Parâmetros!$A$33:$A$37,0))</f>
        <v>8837.10512820513</v>
      </c>
      <c r="F271" s="7" t="n">
        <f aca="false">MAX(0,(E271-D271)/D271)</f>
        <v>0</v>
      </c>
      <c r="G271" s="7" t="n">
        <f aca="false">MIN(K271*Parâmetros!$B$19,Parâmetros!$B$8)</f>
        <v>0.0244038339849275</v>
      </c>
      <c r="H271" s="3" t="str">
        <f aca="false">IF(F271&gt;=Parâmetros!$B$6,"Ação","Acompanhamento")</f>
        <v>Acompanhamento</v>
      </c>
      <c r="I271" s="17" t="n">
        <v>303.779193205945</v>
      </c>
      <c r="J271" s="11" t="n">
        <f aca="false">D271*I271</f>
        <v>2822601.95859873</v>
      </c>
      <c r="K271" s="7" t="n">
        <f aca="false">Parâmetros!$B$4+Parâmetros!$B$5*F271</f>
        <v>0.02</v>
      </c>
      <c r="L271" s="11" t="n">
        <f aca="false">D271*(1+G271)</f>
        <v>9518.37496731266</v>
      </c>
      <c r="M271" s="14" t="n">
        <v>0</v>
      </c>
      <c r="N271" s="4" t="n">
        <v>1</v>
      </c>
      <c r="O271" s="3" t="str">
        <f aca="false">IF(AND(B271=4,M271=1),IF(N271&lt;0.8,"Subgrupo 7 dias; fronteira de cluster","Subgrupo 7 dias"),IF(N271&lt;0.8,"Fronteira de cluster",""))</f>
        <v/>
      </c>
    </row>
    <row r="272" customFormat="false" ht="15" hidden="false" customHeight="false" outlineLevel="0" collapsed="false">
      <c r="A272" s="14" t="n">
        <v>271</v>
      </c>
      <c r="B272" s="14" t="n">
        <v>3</v>
      </c>
      <c r="C272" s="14" t="s">
        <v>32</v>
      </c>
      <c r="D272" s="15" t="n">
        <v>7841.69102564103</v>
      </c>
      <c r="E272" s="16" t="n">
        <f aca="false">INDEX(Parâmetros!$C$33:$C$37,MATCH(B272,Parâmetros!$A$33:$A$37,0))</f>
        <v>5909.24487179487</v>
      </c>
      <c r="F272" s="7" t="n">
        <f aca="false">MAX(0,(E272-D272)/D272)</f>
        <v>0</v>
      </c>
      <c r="G272" s="7" t="n">
        <f aca="false">MIN(K272*Parâmetros!$B$19,Parâmetros!$B$8)</f>
        <v>0.0244038339849275</v>
      </c>
      <c r="H272" s="3" t="str">
        <f aca="false">IF(F272&gt;=Parâmetros!$B$6,"Ação","Acompanhamento")</f>
        <v>Acompanhamento</v>
      </c>
      <c r="I272" s="17" t="n">
        <v>302.229299363057</v>
      </c>
      <c r="J272" s="11" t="n">
        <f aca="false">D272*I272</f>
        <v>2369988.78450106</v>
      </c>
      <c r="K272" s="7" t="n">
        <f aca="false">Parâmetros!$B$4+Parâmetros!$B$5*F272</f>
        <v>0.02</v>
      </c>
      <c r="L272" s="11" t="n">
        <f aca="false">D272*(1+G272)</f>
        <v>8033.05835159187</v>
      </c>
      <c r="M272" s="14" t="n">
        <v>0</v>
      </c>
      <c r="N272" s="4" t="n">
        <v>1</v>
      </c>
      <c r="O272" s="3" t="str">
        <f aca="false">IF(AND(B272=4,M272=1),IF(N272&lt;0.8,"Subgrupo 7 dias; fronteira de cluster","Subgrupo 7 dias"),IF(N272&lt;0.8,"Fronteira de cluster",""))</f>
        <v/>
      </c>
    </row>
    <row r="273" customFormat="false" ht="15" hidden="false" customHeight="false" outlineLevel="0" collapsed="false">
      <c r="A273" s="14" t="n">
        <v>272</v>
      </c>
      <c r="B273" s="14" t="n">
        <v>3</v>
      </c>
      <c r="C273" s="14" t="s">
        <v>32</v>
      </c>
      <c r="D273" s="15" t="n">
        <v>6237.31498079385</v>
      </c>
      <c r="E273" s="16" t="n">
        <f aca="false">INDEX(Parâmetros!$C$33:$C$37,MATCH(B273,Parâmetros!$A$33:$A$37,0))</f>
        <v>5909.24487179487</v>
      </c>
      <c r="F273" s="7" t="n">
        <f aca="false">MAX(0,(E273-D273)/D273)</f>
        <v>0</v>
      </c>
      <c r="G273" s="7" t="n">
        <f aca="false">MIN(K273*Parâmetros!$B$19,Parâmetros!$B$8)</f>
        <v>0.0244038339849275</v>
      </c>
      <c r="H273" s="3" t="str">
        <f aca="false">IF(F273&gt;=Parâmetros!$B$6,"Ação","Acompanhamento")</f>
        <v>Acompanhamento</v>
      </c>
      <c r="I273" s="17" t="n">
        <v>302.616772823779</v>
      </c>
      <c r="J273" s="11" t="n">
        <f aca="false">D273*I273</f>
        <v>1887516.13057325</v>
      </c>
      <c r="K273" s="7" t="n">
        <f aca="false">Parâmetros!$B$4+Parâmetros!$B$5*F273</f>
        <v>0.02</v>
      </c>
      <c r="L273" s="11" t="n">
        <f aca="false">D273*(1+G273)</f>
        <v>6389.52938009685</v>
      </c>
      <c r="M273" s="14" t="n">
        <v>0</v>
      </c>
      <c r="N273" s="4" t="n">
        <v>1</v>
      </c>
      <c r="O273" s="3" t="str">
        <f aca="false">IF(AND(B273=4,M273=1),IF(N273&lt;0.8,"Subgrupo 7 dias; fronteira de cluster","Subgrupo 7 dias"),IF(N273&lt;0.8,"Fronteira de cluster",""))</f>
        <v/>
      </c>
    </row>
    <row r="274" customFormat="false" ht="15" hidden="false" customHeight="false" outlineLevel="0" collapsed="false">
      <c r="A274" s="14" t="n">
        <v>273</v>
      </c>
      <c r="B274" s="14" t="n">
        <v>1</v>
      </c>
      <c r="C274" s="14" t="s">
        <v>30</v>
      </c>
      <c r="D274" s="15" t="n">
        <v>7059.64826700899</v>
      </c>
      <c r="E274" s="16" t="n">
        <f aca="false">INDEX(Parâmetros!$C$33:$C$37,MATCH(B274,Parâmetros!$A$33:$A$37,0))</f>
        <v>6959.92435130262</v>
      </c>
      <c r="F274" s="7" t="n">
        <f aca="false">MAX(0,(E274-D274)/D274)</f>
        <v>0</v>
      </c>
      <c r="G274" s="7" t="n">
        <f aca="false">MIN(K274*Parâmetros!$B$19,Parâmetros!$B$8)</f>
        <v>0.0244038339849275</v>
      </c>
      <c r="H274" s="3" t="str">
        <f aca="false">IF(F274&gt;=Parâmetros!$B$6,"Ação","Acompanhamento")</f>
        <v>Acompanhamento</v>
      </c>
      <c r="I274" s="17" t="n">
        <v>301.841825902336</v>
      </c>
      <c r="J274" s="11" t="n">
        <f aca="false">D274*I274</f>
        <v>2130897.12314225</v>
      </c>
      <c r="K274" s="7" t="n">
        <f aca="false">Parâmetros!$B$4+Parâmetros!$B$5*F274</f>
        <v>0.02</v>
      </c>
      <c r="L274" s="11" t="n">
        <f aca="false">D274*(1+G274)</f>
        <v>7231.93075130906</v>
      </c>
      <c r="M274" s="14" t="n">
        <v>0</v>
      </c>
      <c r="N274" s="4" t="n">
        <v>1</v>
      </c>
      <c r="O274" s="3" t="str">
        <f aca="false">IF(AND(B274=4,M274=1),IF(N274&lt;0.8,"Subgrupo 7 dias; fronteira de cluster","Subgrupo 7 dias"),IF(N274&lt;0.8,"Fronteira de cluster",""))</f>
        <v/>
      </c>
    </row>
    <row r="275" customFormat="false" ht="15" hidden="false" customHeight="false" outlineLevel="0" collapsed="false">
      <c r="A275" s="14" t="n">
        <v>274</v>
      </c>
      <c r="B275" s="14" t="n">
        <v>2</v>
      </c>
      <c r="C275" s="14" t="s">
        <v>31</v>
      </c>
      <c r="D275" s="15" t="n">
        <v>4070.82832618026</v>
      </c>
      <c r="E275" s="16" t="n">
        <f aca="false">INDEX(Parâmetros!$C$33:$C$37,MATCH(B275,Parâmetros!$A$33:$A$37,0))</f>
        <v>6324.80102695764</v>
      </c>
      <c r="F275" s="7" t="n">
        <f aca="false">MAX(0,(E275-D275)/D275)</f>
        <v>0.553688959635478</v>
      </c>
      <c r="G275" s="7" t="n">
        <f aca="false">MIN(K275*Parâmetros!$B$19,Parâmetros!$B$8)</f>
        <v>0.19330550211282</v>
      </c>
      <c r="H275" s="3" t="str">
        <f aca="false">IF(F275&gt;=Parâmetros!$B$6,"Ação","Acompanhamento")</f>
        <v>Ação</v>
      </c>
      <c r="I275" s="17" t="n">
        <v>361.125265392781</v>
      </c>
      <c r="J275" s="11" t="n">
        <f aca="false">D275*I275</f>
        <v>1470078.9596603</v>
      </c>
      <c r="K275" s="7" t="n">
        <f aca="false">Parâmetros!$B$4+Parâmetros!$B$5*F275</f>
        <v>0.158422239908869</v>
      </c>
      <c r="L275" s="11" t="n">
        <f aca="false">D275*(1+G275)</f>
        <v>4857.74183978762</v>
      </c>
      <c r="M275" s="14" t="n">
        <v>1</v>
      </c>
      <c r="N275" s="4" t="n">
        <v>0.959459459459459</v>
      </c>
      <c r="O275" s="3" t="str">
        <f aca="false">IF(AND(B275=4,M275=1),IF(N275&lt;0.8,"Subgrupo 7 dias; fronteira de cluster","Subgrupo 7 dias"),IF(N275&lt;0.8,"Fronteira de cluster",""))</f>
        <v/>
      </c>
    </row>
    <row r="276" customFormat="false" ht="15" hidden="false" customHeight="false" outlineLevel="0" collapsed="false">
      <c r="A276" s="14" t="n">
        <v>275</v>
      </c>
      <c r="B276" s="14" t="n">
        <v>4</v>
      </c>
      <c r="C276" s="14" t="s">
        <v>33</v>
      </c>
      <c r="D276" s="15" t="n">
        <v>7443.8424437299</v>
      </c>
      <c r="E276" s="16" t="n">
        <f aca="false">INDEX(Parâmetros!$C$33:$C$37,MATCH(B276,Parâmetros!$A$33:$A$37,0))</f>
        <v>8837.10512820513</v>
      </c>
      <c r="F276" s="7" t="n">
        <f aca="false">MAX(0,(E276-D276)/D276)</f>
        <v>0.1871698245909</v>
      </c>
      <c r="G276" s="7" t="n">
        <f aca="false">MIN(K276*Parâmetros!$B$19,Parâmetros!$B$8)</f>
        <v>0.0814996005637315</v>
      </c>
      <c r="H276" s="3" t="str">
        <f aca="false">IF(F276&gt;=Parâmetros!$B$6,"Ação","Acompanhamento")</f>
        <v>Ação</v>
      </c>
      <c r="I276" s="17" t="n">
        <v>299.511873350924</v>
      </c>
      <c r="J276" s="11" t="n">
        <f aca="false">D276*I276</f>
        <v>2229519.19525066</v>
      </c>
      <c r="K276" s="7" t="n">
        <f aca="false">Parâmetros!$B$4+Parâmetros!$B$5*F276</f>
        <v>0.0667924561477251</v>
      </c>
      <c r="L276" s="11" t="n">
        <f aca="false">D276*(1+G276)</f>
        <v>8050.51262955324</v>
      </c>
      <c r="M276" s="14" t="n">
        <v>0</v>
      </c>
      <c r="N276" s="4" t="n">
        <v>1</v>
      </c>
      <c r="O276" s="3" t="str">
        <f aca="false">IF(AND(B276=4,M276=1),IF(N276&lt;0.8,"Subgrupo 7 dias; fronteira de cluster","Subgrupo 7 dias"),IF(N276&lt;0.8,"Fronteira de cluster",""))</f>
        <v/>
      </c>
    </row>
    <row r="277" customFormat="false" ht="15" hidden="false" customHeight="false" outlineLevel="0" collapsed="false">
      <c r="A277" s="14" t="n">
        <v>276</v>
      </c>
      <c r="B277" s="14" t="n">
        <v>0</v>
      </c>
      <c r="C277" s="14" t="s">
        <v>29</v>
      </c>
      <c r="D277" s="15" t="n">
        <v>4091.19487179487</v>
      </c>
      <c r="E277" s="16" t="n">
        <f aca="false">INDEX(Parâmetros!$C$33:$C$37,MATCH(B277,Parâmetros!$A$33:$A$37,0))</f>
        <v>5476.37033462034</v>
      </c>
      <c r="F277" s="7" t="n">
        <f aca="false">MAX(0,(E277-D277)/D277)</f>
        <v>0.338574794462862</v>
      </c>
      <c r="G277" s="7" t="n">
        <f aca="false">MIN(K277*Parâmetros!$B$19,Parâmetros!$B$8)</f>
        <v>0.127685372429335</v>
      </c>
      <c r="H277" s="3" t="str">
        <f aca="false">IF(F277&gt;=Parâmetros!$B$6,"Ação","Acompanhamento")</f>
        <v>Ação</v>
      </c>
      <c r="I277" s="17" t="n">
        <v>302.229299363057</v>
      </c>
      <c r="J277" s="11" t="n">
        <f aca="false">D277*I277</f>
        <v>1236478.9596603</v>
      </c>
      <c r="K277" s="7" t="n">
        <f aca="false">Parâmetros!$B$4+Parâmetros!$B$5*F277</f>
        <v>0.104643698615715</v>
      </c>
      <c r="L277" s="11" t="n">
        <f aca="false">D277*(1+G277)</f>
        <v>4613.58061268099</v>
      </c>
      <c r="M277" s="14" t="n">
        <v>0</v>
      </c>
      <c r="N277" s="4" t="n">
        <v>0.987654320987654</v>
      </c>
      <c r="O277" s="3" t="str">
        <f aca="false">IF(AND(B277=4,M277=1),IF(N277&lt;0.8,"Subgrupo 7 dias; fronteira de cluster","Subgrupo 7 dias"),IF(N277&lt;0.8,"Fronteira de cluster",""))</f>
        <v/>
      </c>
    </row>
    <row r="278" customFormat="false" ht="15" hidden="false" customHeight="false" outlineLevel="0" collapsed="false">
      <c r="A278" s="14" t="n">
        <v>277</v>
      </c>
      <c r="B278" s="14" t="n">
        <v>1</v>
      </c>
      <c r="C278" s="14" t="s">
        <v>30</v>
      </c>
      <c r="D278" s="15" t="n">
        <v>6444.5192926045</v>
      </c>
      <c r="E278" s="16" t="n">
        <f aca="false">INDEX(Parâmetros!$C$33:$C$37,MATCH(B278,Parâmetros!$A$33:$A$37,0))</f>
        <v>6959.92435130262</v>
      </c>
      <c r="F278" s="7" t="n">
        <f aca="false">MAX(0,(E278-D278)/D278)</f>
        <v>0.0799757181718084</v>
      </c>
      <c r="G278" s="7" t="n">
        <f aca="false">MIN(K278*Parâmetros!$B$19,Parâmetros!$B$8)</f>
        <v>0.0488002608485544</v>
      </c>
      <c r="H278" s="3" t="str">
        <f aca="false">IF(F278&gt;=Parâmetros!$B$6,"Ação","Acompanhamento")</f>
        <v>Acompanhamento</v>
      </c>
      <c r="I278" s="17" t="n">
        <v>299.511873350924</v>
      </c>
      <c r="J278" s="11" t="n">
        <f aca="false">D278*I278</f>
        <v>1930210.04617414</v>
      </c>
      <c r="K278" s="7" t="n">
        <f aca="false">Parâmetros!$B$4+Parâmetros!$B$5*F278</f>
        <v>0.0399939295429521</v>
      </c>
      <c r="L278" s="11" t="n">
        <f aca="false">D278*(1+G278)</f>
        <v>6759.01351512714</v>
      </c>
      <c r="M278" s="14" t="n">
        <v>0</v>
      </c>
      <c r="N278" s="4" t="n">
        <v>1</v>
      </c>
      <c r="O278" s="3" t="str">
        <f aca="false">IF(AND(B278=4,M278=1),IF(N278&lt;0.8,"Subgrupo 7 dias; fronteira de cluster","Subgrupo 7 dias"),IF(N278&lt;0.8,"Fronteira de cluster",""))</f>
        <v/>
      </c>
    </row>
    <row r="279" customFormat="false" ht="15" hidden="false" customHeight="false" outlineLevel="0" collapsed="false">
      <c r="A279" s="14" t="n">
        <v>278</v>
      </c>
      <c r="B279" s="14" t="n">
        <v>1</v>
      </c>
      <c r="C279" s="14" t="s">
        <v>30</v>
      </c>
      <c r="D279" s="15" t="n">
        <v>7142.16709183674</v>
      </c>
      <c r="E279" s="16" t="n">
        <f aca="false">INDEX(Parâmetros!$C$33:$C$37,MATCH(B279,Parâmetros!$A$33:$A$37,0))</f>
        <v>6959.92435130262</v>
      </c>
      <c r="F279" s="7" t="n">
        <f aca="false">MAX(0,(E279-D279)/D279)</f>
        <v>0</v>
      </c>
      <c r="G279" s="7" t="n">
        <f aca="false">MIN(K279*Parâmetros!$B$19,Parâmetros!$B$8)</f>
        <v>0.0244038339849275</v>
      </c>
      <c r="H279" s="3" t="str">
        <f aca="false">IF(F279&gt;=Parâmetros!$B$6,"Ação","Acompanhamento")</f>
        <v>Acompanhamento</v>
      </c>
      <c r="I279" s="17" t="n">
        <v>303.779193205945</v>
      </c>
      <c r="J279" s="11" t="n">
        <f aca="false">D279*I279</f>
        <v>2169641.75690021</v>
      </c>
      <c r="K279" s="7" t="n">
        <f aca="false">Parâmetros!$B$4+Parâmetros!$B$5*F279</f>
        <v>0.02</v>
      </c>
      <c r="L279" s="11" t="n">
        <f aca="false">D279*(1+G279)</f>
        <v>7316.46335183853</v>
      </c>
      <c r="M279" s="14" t="n">
        <v>0</v>
      </c>
      <c r="N279" s="4" t="n">
        <v>1</v>
      </c>
      <c r="O279" s="3" t="str">
        <f aca="false">IF(AND(B279=4,M279=1),IF(N279&lt;0.8,"Subgrupo 7 dias; fronteira de cluster","Subgrupo 7 dias"),IF(N279&lt;0.8,"Fronteira de cluster",""))</f>
        <v/>
      </c>
    </row>
    <row r="280" customFormat="false" ht="15" hidden="false" customHeight="false" outlineLevel="0" collapsed="false">
      <c r="A280" s="14" t="n">
        <v>279</v>
      </c>
      <c r="B280" s="14" t="n">
        <v>1</v>
      </c>
      <c r="C280" s="14" t="s">
        <v>30</v>
      </c>
      <c r="D280" s="15" t="n">
        <v>8881.08988764045</v>
      </c>
      <c r="E280" s="16" t="n">
        <f aca="false">INDEX(Parâmetros!$C$33:$C$37,MATCH(B280,Parâmetros!$A$33:$A$37,0))</f>
        <v>6959.92435130262</v>
      </c>
      <c r="F280" s="7" t="n">
        <f aca="false">MAX(0,(E280-D280)/D280)</f>
        <v>0</v>
      </c>
      <c r="G280" s="7" t="n">
        <f aca="false">MIN(K280*Parâmetros!$B$19,Parâmetros!$B$8)</f>
        <v>0.0244038339849275</v>
      </c>
      <c r="H280" s="3" t="str">
        <f aca="false">IF(F280&gt;=Parâmetros!$B$6,"Ação","Acompanhamento")</f>
        <v>Acompanhamento</v>
      </c>
      <c r="I280" s="17" t="n">
        <v>299.993403693931</v>
      </c>
      <c r="J280" s="11" t="n">
        <f aca="false">D280*I280</f>
        <v>2664268.38390501</v>
      </c>
      <c r="K280" s="7" t="n">
        <f aca="false">Parâmetros!$B$4+Parâmetros!$B$5*F280</f>
        <v>0.02</v>
      </c>
      <c r="L280" s="11" t="n">
        <f aca="false">D280*(1+G280)</f>
        <v>9097.82253086365</v>
      </c>
      <c r="M280" s="14" t="n">
        <v>0</v>
      </c>
      <c r="N280" s="4" t="n">
        <v>1</v>
      </c>
      <c r="O280" s="3" t="str">
        <f aca="false">IF(AND(B280=4,M280=1),IF(N280&lt;0.8,"Subgrupo 7 dias; fronteira de cluster","Subgrupo 7 dias"),IF(N280&lt;0.8,"Fronteira de cluster",""))</f>
        <v/>
      </c>
    </row>
    <row r="281" customFormat="false" ht="15" hidden="false" customHeight="false" outlineLevel="0" collapsed="false">
      <c r="A281" s="14" t="n">
        <v>280</v>
      </c>
      <c r="B281" s="14" t="n">
        <v>1</v>
      </c>
      <c r="C281" s="14" t="s">
        <v>30</v>
      </c>
      <c r="D281" s="15" t="n">
        <v>6267.48906048906</v>
      </c>
      <c r="E281" s="16" t="n">
        <f aca="false">INDEX(Parâmetros!$C$33:$C$37,MATCH(B281,Parâmetros!$A$33:$A$37,0))</f>
        <v>6959.92435130262</v>
      </c>
      <c r="F281" s="7" t="n">
        <f aca="false">MAX(0,(E281-D281)/D281)</f>
        <v>0.110480494521921</v>
      </c>
      <c r="G281" s="7" t="n">
        <f aca="false">MIN(K281*Parâmetros!$B$19,Parâmetros!$B$8)</f>
        <v>0.058105679570998</v>
      </c>
      <c r="H281" s="3" t="str">
        <f aca="false">IF(F281&gt;=Parâmetros!$B$6,"Ação","Acompanhamento")</f>
        <v>Ação</v>
      </c>
      <c r="I281" s="17" t="n">
        <v>301.066878980892</v>
      </c>
      <c r="J281" s="11" t="n">
        <f aca="false">D281*I281</f>
        <v>1886933.37048832</v>
      </c>
      <c r="K281" s="7" t="n">
        <f aca="false">Parâmetros!$B$4+Parâmetros!$B$5*F281</f>
        <v>0.0476201236304802</v>
      </c>
      <c r="L281" s="11" t="n">
        <f aca="false">D281*(1+G281)</f>
        <v>6631.66577155257</v>
      </c>
      <c r="M281" s="14" t="n">
        <v>0</v>
      </c>
      <c r="N281" s="4" t="n">
        <v>1</v>
      </c>
      <c r="O281" s="3" t="str">
        <f aca="false">IF(AND(B281=4,M281=1),IF(N281&lt;0.8,"Subgrupo 7 dias; fronteira de cluster","Subgrupo 7 dias"),IF(N281&lt;0.8,"Fronteira de cluster",""))</f>
        <v/>
      </c>
    </row>
    <row r="282" customFormat="false" ht="15" hidden="false" customHeight="false" outlineLevel="0" collapsed="false">
      <c r="A282" s="14" t="n">
        <v>281</v>
      </c>
      <c r="B282" s="14" t="n">
        <v>1</v>
      </c>
      <c r="C282" s="14" t="s">
        <v>30</v>
      </c>
      <c r="D282" s="15" t="n">
        <v>5860.61734693878</v>
      </c>
      <c r="E282" s="16" t="n">
        <f aca="false">INDEX(Parâmetros!$C$33:$C$37,MATCH(B282,Parâmetros!$A$33:$A$37,0))</f>
        <v>6959.92435130262</v>
      </c>
      <c r="F282" s="7" t="n">
        <f aca="false">MAX(0,(E282-D282)/D282)</f>
        <v>0.187575291012312</v>
      </c>
      <c r="G282" s="7" t="n">
        <f aca="false">MIN(K282*Parâmetros!$B$19,Parâmetros!$B$8)</f>
        <v>0.0816232872541639</v>
      </c>
      <c r="H282" s="3" t="str">
        <f aca="false">IF(F282&gt;=Parâmetros!$B$6,"Ação","Acompanhamento")</f>
        <v>Ação</v>
      </c>
      <c r="I282" s="17" t="n">
        <v>303.779193205945</v>
      </c>
      <c r="J282" s="11" t="n">
        <f aca="false">D282*I282</f>
        <v>1780333.60934183</v>
      </c>
      <c r="K282" s="7" t="n">
        <f aca="false">Parâmetros!$B$4+Parâmetros!$B$5*F282</f>
        <v>0.066893822753078</v>
      </c>
      <c r="L282" s="11" t="n">
        <f aca="false">D282*(1+G282)</f>
        <v>6338.9802001347</v>
      </c>
      <c r="M282" s="14" t="n">
        <v>0</v>
      </c>
      <c r="N282" s="4" t="n">
        <v>1</v>
      </c>
      <c r="O282" s="3" t="str">
        <f aca="false">IF(AND(B282=4,M282=1),IF(N282&lt;0.8,"Subgrupo 7 dias; fronteira de cluster","Subgrupo 7 dias"),IF(N282&lt;0.8,"Fronteira de cluster",""))</f>
        <v/>
      </c>
    </row>
    <row r="283" customFormat="false" ht="15" hidden="false" customHeight="false" outlineLevel="0" collapsed="false">
      <c r="A283" s="14" t="n">
        <v>282</v>
      </c>
      <c r="B283" s="14" t="n">
        <v>0</v>
      </c>
      <c r="C283" s="14" t="s">
        <v>29</v>
      </c>
      <c r="D283" s="15" t="n">
        <v>4408.58418367347</v>
      </c>
      <c r="E283" s="16" t="n">
        <f aca="false">INDEX(Parâmetros!$C$33:$C$37,MATCH(B283,Parâmetros!$A$33:$A$37,0))</f>
        <v>5476.37033462034</v>
      </c>
      <c r="F283" s="7" t="n">
        <f aca="false">MAX(0,(E283-D283)/D283)</f>
        <v>0.242206138401814</v>
      </c>
      <c r="G283" s="7" t="n">
        <f aca="false">MIN(K283*Parâmetros!$B$19,Parâmetros!$B$8)</f>
        <v>0.0982883138810304</v>
      </c>
      <c r="H283" s="3" t="str">
        <f aca="false">IF(F283&gt;=Parâmetros!$B$6,"Ação","Acompanhamento")</f>
        <v>Ação</v>
      </c>
      <c r="I283" s="17" t="n">
        <v>303.779193205945</v>
      </c>
      <c r="J283" s="11" t="n">
        <f aca="false">D283*I283</f>
        <v>1339236.14649682</v>
      </c>
      <c r="K283" s="7" t="n">
        <f aca="false">Parâmetros!$B$4+Parâmetros!$B$5*F283</f>
        <v>0.0805515346004536</v>
      </c>
      <c r="L283" s="11" t="n">
        <f aca="false">D283*(1+G283)</f>
        <v>4841.89648968931</v>
      </c>
      <c r="M283" s="14" t="n">
        <v>0</v>
      </c>
      <c r="N283" s="4" t="n">
        <v>1</v>
      </c>
      <c r="O283" s="3" t="str">
        <f aca="false">IF(AND(B283=4,M283=1),IF(N283&lt;0.8,"Subgrupo 7 dias; fronteira de cluster","Subgrupo 7 dias"),IF(N283&lt;0.8,"Fronteira de cluster",""))</f>
        <v/>
      </c>
    </row>
    <row r="284" customFormat="false" ht="15" hidden="false" customHeight="false" outlineLevel="0" collapsed="false">
      <c r="A284" s="14" t="n">
        <v>283</v>
      </c>
      <c r="B284" s="14" t="n">
        <v>4</v>
      </c>
      <c r="C284" s="14" t="s">
        <v>33</v>
      </c>
      <c r="D284" s="15" t="n">
        <v>7114.15916398714</v>
      </c>
      <c r="E284" s="16" t="n">
        <f aca="false">INDEX(Parâmetros!$C$33:$C$37,MATCH(B284,Parâmetros!$A$33:$A$37,0))</f>
        <v>8837.10512820513</v>
      </c>
      <c r="F284" s="7" t="n">
        <f aca="false">MAX(0,(E284-D284)/D284)</f>
        <v>0.242185467671258</v>
      </c>
      <c r="G284" s="7" t="n">
        <f aca="false">MIN(K284*Parâmetros!$B$19,Parâmetros!$B$8)</f>
        <v>0.0982820083175698</v>
      </c>
      <c r="H284" s="3" t="str">
        <f aca="false">IF(F284&gt;=Parâmetros!$B$6,"Ação","Acompanhamento")</f>
        <v>Ação</v>
      </c>
      <c r="I284" s="17" t="n">
        <v>299.511873350924</v>
      </c>
      <c r="J284" s="11" t="n">
        <f aca="false">D284*I284</f>
        <v>2130775.13852243</v>
      </c>
      <c r="K284" s="7" t="n">
        <f aca="false">Parâmetros!$B$4+Parâmetros!$B$5*F284</f>
        <v>0.0805463669178144</v>
      </c>
      <c r="L284" s="11" t="n">
        <f aca="false">D284*(1+G284)</f>
        <v>7813.35301411464</v>
      </c>
      <c r="M284" s="14" t="n">
        <v>0</v>
      </c>
      <c r="N284" s="4" t="n">
        <v>0.975609756097561</v>
      </c>
      <c r="O284" s="3" t="str">
        <f aca="false">IF(AND(B284=4,M284=1),IF(N284&lt;0.8,"Subgrupo 7 dias; fronteira de cluster","Subgrupo 7 dias"),IF(N284&lt;0.8,"Fronteira de cluster",""))</f>
        <v/>
      </c>
    </row>
    <row r="285" customFormat="false" ht="15" hidden="false" customHeight="false" outlineLevel="0" collapsed="false">
      <c r="A285" s="14" t="n">
        <v>284</v>
      </c>
      <c r="B285" s="14" t="n">
        <v>1</v>
      </c>
      <c r="C285" s="14" t="s">
        <v>30</v>
      </c>
      <c r="D285" s="15" t="n">
        <v>5413.25080385852</v>
      </c>
      <c r="E285" s="16" t="n">
        <f aca="false">INDEX(Parâmetros!$C$33:$C$37,MATCH(B285,Parâmetros!$A$33:$A$37,0))</f>
        <v>6959.92435130262</v>
      </c>
      <c r="F285" s="7" t="n">
        <f aca="false">MAX(0,(E285-D285)/D285)</f>
        <v>0.285719912763259</v>
      </c>
      <c r="G285" s="7" t="n">
        <f aca="false">MIN(K285*Parâmetros!$B$19,Parâmetros!$B$8)</f>
        <v>0.111562100450709</v>
      </c>
      <c r="H285" s="3" t="str">
        <f aca="false">IF(F285&gt;=Parâmetros!$B$6,"Ação","Acompanhamento")</f>
        <v>Ação</v>
      </c>
      <c r="I285" s="17" t="n">
        <v>299.511873350924</v>
      </c>
      <c r="J285" s="11" t="n">
        <f aca="false">D285*I285</f>
        <v>1621332.88918206</v>
      </c>
      <c r="K285" s="7" t="n">
        <f aca="false">Parâmetros!$B$4+Parâmetros!$B$5*F285</f>
        <v>0.0914299781908149</v>
      </c>
      <c r="L285" s="11" t="n">
        <f aca="false">D285*(1+G285)</f>
        <v>6017.16443380347</v>
      </c>
      <c r="M285" s="14" t="n">
        <v>0</v>
      </c>
      <c r="N285" s="4" t="n">
        <v>0.959459459459459</v>
      </c>
      <c r="O285" s="3" t="str">
        <f aca="false">IF(AND(B285=4,M285=1),IF(N285&lt;0.8,"Subgrupo 7 dias; fronteira de cluster","Subgrupo 7 dias"),IF(N285&lt;0.8,"Fronteira de cluster",""))</f>
        <v/>
      </c>
    </row>
    <row r="286" customFormat="false" ht="15" hidden="false" customHeight="false" outlineLevel="0" collapsed="false">
      <c r="A286" s="14" t="n">
        <v>285</v>
      </c>
      <c r="B286" s="14" t="n">
        <v>1</v>
      </c>
      <c r="C286" s="14" t="s">
        <v>30</v>
      </c>
      <c r="D286" s="15" t="n">
        <v>5154.92445582586</v>
      </c>
      <c r="E286" s="16" t="n">
        <f aca="false">INDEX(Parâmetros!$C$33:$C$37,MATCH(B286,Parâmetros!$A$33:$A$37,0))</f>
        <v>6959.92435130262</v>
      </c>
      <c r="F286" s="7" t="n">
        <f aca="false">MAX(0,(E286-D286)/D286)</f>
        <v>0.350150600836997</v>
      </c>
      <c r="G286" s="7" t="n">
        <f aca="false">MIN(K286*Parâmetros!$B$19,Parâmetros!$B$8)</f>
        <v>0.131216548141786</v>
      </c>
      <c r="H286" s="3" t="str">
        <f aca="false">IF(F286&gt;=Parâmetros!$B$6,"Ação","Acompanhamento")</f>
        <v>Ação</v>
      </c>
      <c r="I286" s="17" t="n">
        <v>302.616772823779</v>
      </c>
      <c r="J286" s="11" t="n">
        <f aca="false">D286*I286</f>
        <v>1559966.6029724</v>
      </c>
      <c r="K286" s="7" t="n">
        <f aca="false">Parâmetros!$B$4+Parâmetros!$B$5*F286</f>
        <v>0.107537650209249</v>
      </c>
      <c r="L286" s="11" t="n">
        <f aca="false">D286*(1+G286)</f>
        <v>5831.33584885101</v>
      </c>
      <c r="M286" s="14" t="n">
        <v>0</v>
      </c>
      <c r="N286" s="4" t="n">
        <v>1</v>
      </c>
      <c r="O286" s="3" t="str">
        <f aca="false">IF(AND(B286=4,M286=1),IF(N286&lt;0.8,"Subgrupo 7 dias; fronteira de cluster","Subgrupo 7 dias"),IF(N286&lt;0.8,"Fronteira de cluster",""))</f>
        <v/>
      </c>
    </row>
    <row r="287" customFormat="false" ht="15" hidden="false" customHeight="false" outlineLevel="0" collapsed="false">
      <c r="A287" s="14" t="n">
        <v>286</v>
      </c>
      <c r="B287" s="14" t="n">
        <v>3</v>
      </c>
      <c r="C287" s="14" t="s">
        <v>32</v>
      </c>
      <c r="D287" s="15" t="n">
        <v>4927.82028241335</v>
      </c>
      <c r="E287" s="16" t="n">
        <f aca="false">INDEX(Parâmetros!$C$33:$C$37,MATCH(B287,Parâmetros!$A$33:$A$37,0))</f>
        <v>5909.24487179487</v>
      </c>
      <c r="F287" s="7" t="n">
        <f aca="false">MAX(0,(E287-D287)/D287)</f>
        <v>0.199159980099939</v>
      </c>
      <c r="G287" s="7" t="n">
        <f aca="false">MIN(K287*Parâmetros!$B$19,Parâmetros!$B$8)</f>
        <v>0.0851571726199321</v>
      </c>
      <c r="H287" s="3" t="str">
        <f aca="false">IF(F287&gt;=Parâmetros!$B$6,"Ação","Acompanhamento")</f>
        <v>Ação</v>
      </c>
      <c r="I287" s="17" t="n">
        <v>301.841825902336</v>
      </c>
      <c r="J287" s="11" t="n">
        <f aca="false">D287*I287</f>
        <v>1487422.27176221</v>
      </c>
      <c r="K287" s="7" t="n">
        <f aca="false">Parâmetros!$B$4+Parâmetros!$B$5*F287</f>
        <v>0.0697899950249848</v>
      </c>
      <c r="L287" s="11" t="n">
        <f aca="false">D287*(1+G287)</f>
        <v>5347.45952484283</v>
      </c>
      <c r="M287" s="14" t="n">
        <v>0</v>
      </c>
      <c r="N287" s="4" t="n">
        <v>1</v>
      </c>
      <c r="O287" s="3" t="str">
        <f aca="false">IF(AND(B287=4,M287=1),IF(N287&lt;0.8,"Subgrupo 7 dias; fronteira de cluster","Subgrupo 7 dias"),IF(N287&lt;0.8,"Fronteira de cluster",""))</f>
        <v/>
      </c>
    </row>
    <row r="288" customFormat="false" ht="15" hidden="false" customHeight="false" outlineLevel="0" collapsed="false">
      <c r="A288" s="14" t="n">
        <v>287</v>
      </c>
      <c r="B288" s="14" t="n">
        <v>4</v>
      </c>
      <c r="C288" s="14" t="s">
        <v>33</v>
      </c>
      <c r="D288" s="15" t="n">
        <v>8152.40032154341</v>
      </c>
      <c r="E288" s="16" t="n">
        <f aca="false">INDEX(Parâmetros!$C$33:$C$37,MATCH(B288,Parâmetros!$A$33:$A$37,0))</f>
        <v>8837.10512820513</v>
      </c>
      <c r="F288" s="7" t="n">
        <f aca="false">MAX(0,(E288-D288)/D288)</f>
        <v>0.0839881237004922</v>
      </c>
      <c r="G288" s="7" t="n">
        <f aca="false">MIN(K288*Parâmetros!$B$19,Parâmetros!$B$8)</f>
        <v>0.050024236828582</v>
      </c>
      <c r="H288" s="3" t="str">
        <f aca="false">IF(F288&gt;=Parâmetros!$B$6,"Ação","Acompanhamento")</f>
        <v>Acompanhamento</v>
      </c>
      <c r="I288" s="17" t="n">
        <v>299.511873350924</v>
      </c>
      <c r="J288" s="11" t="n">
        <f aca="false">D288*I288</f>
        <v>2441740.69261214</v>
      </c>
      <c r="K288" s="7" t="n">
        <f aca="false">Parâmetros!$B$4+Parâmetros!$B$5*F288</f>
        <v>0.040997030925123</v>
      </c>
      <c r="L288" s="11" t="n">
        <f aca="false">D288*(1+G288)</f>
        <v>8560.2179259497</v>
      </c>
      <c r="M288" s="14" t="n">
        <v>0</v>
      </c>
      <c r="N288" s="4" t="n">
        <v>1</v>
      </c>
      <c r="O288" s="3" t="str">
        <f aca="false">IF(AND(B288=4,M288=1),IF(N288&lt;0.8,"Subgrupo 7 dias; fronteira de cluster","Subgrupo 7 dias"),IF(N288&lt;0.8,"Fronteira de cluster",""))</f>
        <v/>
      </c>
    </row>
    <row r="289" customFormat="false" ht="15" hidden="false" customHeight="false" outlineLevel="0" collapsed="false">
      <c r="A289" s="14" t="n">
        <v>288</v>
      </c>
      <c r="B289" s="14" t="n">
        <v>1</v>
      </c>
      <c r="C289" s="14" t="s">
        <v>30</v>
      </c>
      <c r="D289" s="15" t="n">
        <v>5625.73311897106</v>
      </c>
      <c r="E289" s="16" t="n">
        <f aca="false">INDEX(Parâmetros!$C$33:$C$37,MATCH(B289,Parâmetros!$A$33:$A$37,0))</f>
        <v>6959.92435130262</v>
      </c>
      <c r="F289" s="7" t="n">
        <f aca="false">MAX(0,(E289-D289)/D289)</f>
        <v>0.237158642992219</v>
      </c>
      <c r="G289" s="7" t="n">
        <f aca="false">MIN(K289*Parâmetros!$B$19,Parâmetros!$B$8)</f>
        <v>0.0967485858808373</v>
      </c>
      <c r="H289" s="3" t="str">
        <f aca="false">IF(F289&gt;=Parâmetros!$B$6,"Ação","Acompanhamento")</f>
        <v>Ação</v>
      </c>
      <c r="I289" s="17" t="n">
        <v>299.511873350924</v>
      </c>
      <c r="J289" s="11" t="n">
        <f aca="false">D289*I289</f>
        <v>1684973.86543536</v>
      </c>
      <c r="K289" s="7" t="n">
        <f aca="false">Parâmetros!$B$4+Parâmetros!$B$5*F289</f>
        <v>0.0792896607480547</v>
      </c>
      <c r="L289" s="11" t="n">
        <f aca="false">D289*(1+G289)</f>
        <v>6170.0148427745</v>
      </c>
      <c r="M289" s="14" t="n">
        <v>0</v>
      </c>
      <c r="N289" s="4" t="n">
        <v>1</v>
      </c>
      <c r="O289" s="3" t="str">
        <f aca="false">IF(AND(B289=4,M289=1),IF(N289&lt;0.8,"Subgrupo 7 dias; fronteira de cluster","Subgrupo 7 dias"),IF(N289&lt;0.8,"Fronteira de cluster",""))</f>
        <v/>
      </c>
    </row>
    <row r="290" customFormat="false" ht="15" hidden="false" customHeight="false" outlineLevel="0" collapsed="false">
      <c r="A290" s="14" t="n">
        <v>289</v>
      </c>
      <c r="B290" s="14" t="n">
        <v>1</v>
      </c>
      <c r="C290" s="14" t="s">
        <v>30</v>
      </c>
      <c r="D290" s="15" t="n">
        <v>6321.22791293214</v>
      </c>
      <c r="E290" s="16" t="n">
        <f aca="false">INDEX(Parâmetros!$C$33:$C$37,MATCH(B290,Parâmetros!$A$33:$A$37,0))</f>
        <v>6959.92435130262</v>
      </c>
      <c r="F290" s="7" t="n">
        <f aca="false">MAX(0,(E290-D290)/D290)</f>
        <v>0.101039931982807</v>
      </c>
      <c r="G290" s="7" t="n">
        <f aca="false">MIN(K290*Parâmetros!$B$19,Parâmetros!$B$8)</f>
        <v>0.0552258555593872</v>
      </c>
      <c r="H290" s="3" t="str">
        <f aca="false">IF(F290&gt;=Parâmetros!$B$6,"Ação","Acompanhamento")</f>
        <v>Ação</v>
      </c>
      <c r="I290" s="17" t="n">
        <v>302.616772823779</v>
      </c>
      <c r="J290" s="11" t="n">
        <f aca="false">D290*I290</f>
        <v>1912909.59129512</v>
      </c>
      <c r="K290" s="7" t="n">
        <f aca="false">Parâmetros!$B$4+Parâmetros!$B$5*F290</f>
        <v>0.0452599829957017</v>
      </c>
      <c r="L290" s="11" t="n">
        <f aca="false">D290*(1+G290)</f>
        <v>6670.3231326097</v>
      </c>
      <c r="M290" s="14" t="n">
        <v>0</v>
      </c>
      <c r="N290" s="4" t="n">
        <v>1</v>
      </c>
      <c r="O290" s="3" t="str">
        <f aca="false">IF(AND(B290=4,M290=1),IF(N290&lt;0.8,"Subgrupo 7 dias; fronteira de cluster","Subgrupo 7 dias"),IF(N290&lt;0.8,"Fronteira de cluster",""))</f>
        <v/>
      </c>
    </row>
    <row r="291" customFormat="false" ht="15" hidden="false" customHeight="false" outlineLevel="0" collapsed="false">
      <c r="A291" s="14" t="n">
        <v>290</v>
      </c>
      <c r="B291" s="14" t="n">
        <v>3</v>
      </c>
      <c r="C291" s="14" t="s">
        <v>32</v>
      </c>
      <c r="D291" s="15" t="n">
        <v>7014.15789473684</v>
      </c>
      <c r="E291" s="16" t="n">
        <f aca="false">INDEX(Parâmetros!$C$33:$C$37,MATCH(B291,Parâmetros!$A$33:$A$37,0))</f>
        <v>5909.24487179487</v>
      </c>
      <c r="F291" s="7" t="n">
        <f aca="false">MAX(0,(E291-D291)/D291)</f>
        <v>0</v>
      </c>
      <c r="G291" s="7" t="n">
        <f aca="false">MIN(K291*Parâmetros!$B$19,Parâmetros!$B$8)</f>
        <v>0.0244038339849275</v>
      </c>
      <c r="H291" s="3" t="str">
        <f aca="false">IF(F291&gt;=Parâmetros!$B$6,"Ação","Acompanhamento")</f>
        <v>Acompanhamento</v>
      </c>
      <c r="I291" s="17" t="n">
        <v>301.841825902336</v>
      </c>
      <c r="J291" s="11" t="n">
        <f aca="false">D291*I291</f>
        <v>2117166.22611465</v>
      </c>
      <c r="K291" s="7" t="n">
        <f aca="false">Parâmetros!$B$4+Parâmetros!$B$5*F291</f>
        <v>0.02</v>
      </c>
      <c r="L291" s="11" t="n">
        <f aca="false">D291*(1+G291)</f>
        <v>7185.33023954407</v>
      </c>
      <c r="M291" s="14" t="n">
        <v>0</v>
      </c>
      <c r="N291" s="4" t="n">
        <v>0.952941176470588</v>
      </c>
      <c r="O291" s="3" t="str">
        <f aca="false">IF(AND(B291=4,M291=1),IF(N291&lt;0.8,"Subgrupo 7 dias; fronteira de cluster","Subgrupo 7 dias"),IF(N291&lt;0.8,"Fronteira de cluster",""))</f>
        <v/>
      </c>
    </row>
    <row r="292" customFormat="false" ht="15" hidden="false" customHeight="false" outlineLevel="0" collapsed="false">
      <c r="A292" s="14" t="n">
        <v>291</v>
      </c>
      <c r="B292" s="14" t="n">
        <v>3</v>
      </c>
      <c r="C292" s="14" t="s">
        <v>32</v>
      </c>
      <c r="D292" s="15" t="n">
        <v>8023.03974358974</v>
      </c>
      <c r="E292" s="16" t="n">
        <f aca="false">INDEX(Parâmetros!$C$33:$C$37,MATCH(B292,Parâmetros!$A$33:$A$37,0))</f>
        <v>5909.24487179487</v>
      </c>
      <c r="F292" s="7" t="n">
        <f aca="false">MAX(0,(E292-D292)/D292)</f>
        <v>0</v>
      </c>
      <c r="G292" s="7" t="n">
        <f aca="false">MIN(K292*Parâmetros!$B$19,Parâmetros!$B$8)</f>
        <v>0.0244038339849275</v>
      </c>
      <c r="H292" s="3" t="str">
        <f aca="false">IF(F292&gt;=Parâmetros!$B$6,"Ação","Acompanhamento")</f>
        <v>Acompanhamento</v>
      </c>
      <c r="I292" s="17" t="n">
        <v>302.229299363057</v>
      </c>
      <c r="J292" s="11" t="n">
        <f aca="false">D292*I292</f>
        <v>2424797.68046709</v>
      </c>
      <c r="K292" s="7" t="n">
        <f aca="false">Parâmetros!$B$4+Parâmetros!$B$5*F292</f>
        <v>0.02</v>
      </c>
      <c r="L292" s="11" t="n">
        <f aca="false">D292*(1+G292)</f>
        <v>8218.83267354678</v>
      </c>
      <c r="M292" s="14" t="n">
        <v>0</v>
      </c>
      <c r="N292" s="4" t="n">
        <v>1</v>
      </c>
      <c r="O292" s="3" t="str">
        <f aca="false">IF(AND(B292=4,M292=1),IF(N292&lt;0.8,"Subgrupo 7 dias; fronteira de cluster","Subgrupo 7 dias"),IF(N292&lt;0.8,"Fronteira de cluster",""))</f>
        <v/>
      </c>
    </row>
    <row r="293" customFormat="false" ht="15" hidden="false" customHeight="false" outlineLevel="0" collapsed="false">
      <c r="A293" s="14" t="n">
        <v>292</v>
      </c>
      <c r="B293" s="14" t="n">
        <v>0</v>
      </c>
      <c r="C293" s="14" t="s">
        <v>29</v>
      </c>
      <c r="D293" s="15" t="n">
        <v>5774.09007832898</v>
      </c>
      <c r="E293" s="16" t="n">
        <f aca="false">INDEX(Parâmetros!$C$33:$C$37,MATCH(B293,Parâmetros!$A$33:$A$37,0))</f>
        <v>5476.37033462034</v>
      </c>
      <c r="F293" s="7" t="n">
        <f aca="false">MAX(0,(E293-D293)/D293)</f>
        <v>0</v>
      </c>
      <c r="G293" s="7" t="n">
        <f aca="false">MIN(K293*Parâmetros!$B$19,Parâmetros!$B$8)</f>
        <v>0.0244038339849275</v>
      </c>
      <c r="H293" s="3" t="str">
        <f aca="false">IF(F293&gt;=Parâmetros!$B$6,"Ação","Acompanhamento")</f>
        <v>Acompanhamento</v>
      </c>
      <c r="I293" s="17" t="n">
        <v>296.804670912951</v>
      </c>
      <c r="J293" s="11" t="n">
        <f aca="false">D293*I293</f>
        <v>1713776.90552017</v>
      </c>
      <c r="K293" s="7" t="n">
        <f aca="false">Parâmetros!$B$4+Parâmetros!$B$5*F293</f>
        <v>0.02</v>
      </c>
      <c r="L293" s="11" t="n">
        <f aca="false">D293*(1+G293)</f>
        <v>5915.00001401454</v>
      </c>
      <c r="M293" s="14" t="n">
        <v>0</v>
      </c>
      <c r="N293" s="4" t="n">
        <v>0.975903614457831</v>
      </c>
      <c r="O293" s="3" t="str">
        <f aca="false">IF(AND(B293=4,M293=1),IF(N293&lt;0.8,"Subgrupo 7 dias; fronteira de cluster","Subgrupo 7 dias"),IF(N293&lt;0.8,"Fronteira de cluster",""))</f>
        <v/>
      </c>
    </row>
    <row r="294" customFormat="false" ht="15" hidden="false" customHeight="false" outlineLevel="0" collapsed="false">
      <c r="A294" s="14" t="n">
        <v>293</v>
      </c>
      <c r="B294" s="14" t="n">
        <v>0</v>
      </c>
      <c r="C294" s="14" t="s">
        <v>29</v>
      </c>
      <c r="D294" s="15" t="n">
        <v>6257.7650063857</v>
      </c>
      <c r="E294" s="16" t="n">
        <f aca="false">INDEX(Parâmetros!$C$33:$C$37,MATCH(B294,Parâmetros!$A$33:$A$37,0))</f>
        <v>5476.37033462034</v>
      </c>
      <c r="F294" s="7" t="n">
        <f aca="false">MAX(0,(E294-D294)/D294)</f>
        <v>0</v>
      </c>
      <c r="G294" s="7" t="n">
        <f aca="false">MIN(K294*Parâmetros!$B$19,Parâmetros!$B$8)</f>
        <v>0.0244038339849275</v>
      </c>
      <c r="H294" s="3" t="str">
        <f aca="false">IF(F294&gt;=Parâmetros!$B$6,"Ação","Acompanhamento")</f>
        <v>Acompanhamento</v>
      </c>
      <c r="I294" s="17" t="n">
        <v>303.391719745223</v>
      </c>
      <c r="J294" s="11" t="n">
        <f aca="false">D294*I294</f>
        <v>1898554.08704883</v>
      </c>
      <c r="K294" s="7" t="n">
        <f aca="false">Parâmetros!$B$4+Parâmetros!$B$5*F294</f>
        <v>0.02</v>
      </c>
      <c r="L294" s="11" t="n">
        <f aca="false">D294*(1+G294)</f>
        <v>6410.47846471822</v>
      </c>
      <c r="M294" s="14" t="n">
        <v>0</v>
      </c>
      <c r="N294" s="4" t="n">
        <v>0.964285714285714</v>
      </c>
      <c r="O294" s="3" t="str">
        <f aca="false">IF(AND(B294=4,M294=1),IF(N294&lt;0.8,"Subgrupo 7 dias; fronteira de cluster","Subgrupo 7 dias"),IF(N294&lt;0.8,"Fronteira de cluster",""))</f>
        <v/>
      </c>
    </row>
    <row r="295" customFormat="false" ht="15" hidden="false" customHeight="false" outlineLevel="0" collapsed="false">
      <c r="A295" s="14" t="n">
        <v>294</v>
      </c>
      <c r="B295" s="14" t="n">
        <v>0</v>
      </c>
      <c r="C295" s="14" t="s">
        <v>29</v>
      </c>
      <c r="D295" s="15" t="n">
        <v>5770.28040973111</v>
      </c>
      <c r="E295" s="16" t="n">
        <f aca="false">INDEX(Parâmetros!$C$33:$C$37,MATCH(B295,Parâmetros!$A$33:$A$37,0))</f>
        <v>5476.37033462034</v>
      </c>
      <c r="F295" s="7" t="n">
        <f aca="false">MAX(0,(E295-D295)/D295)</f>
        <v>0</v>
      </c>
      <c r="G295" s="7" t="n">
        <f aca="false">MIN(K295*Parâmetros!$B$19,Parâmetros!$B$8)</f>
        <v>0.0244038339849275</v>
      </c>
      <c r="H295" s="3" t="str">
        <f aca="false">IF(F295&gt;=Parâmetros!$B$6,"Ação","Acompanhamento")</f>
        <v>Acompanhamento</v>
      </c>
      <c r="I295" s="17" t="n">
        <v>302.616772823779</v>
      </c>
      <c r="J295" s="11" t="n">
        <f aca="false">D295*I295</f>
        <v>1746183.6358811</v>
      </c>
      <c r="K295" s="7" t="n">
        <f aca="false">Parâmetros!$B$4+Parâmetros!$B$5*F295</f>
        <v>0.02</v>
      </c>
      <c r="L295" s="11" t="n">
        <f aca="false">D295*(1+G295)</f>
        <v>5911.09737489667</v>
      </c>
      <c r="M295" s="14" t="n">
        <v>0</v>
      </c>
      <c r="N295" s="4" t="n">
        <v>1</v>
      </c>
      <c r="O295" s="3" t="str">
        <f aca="false">IF(AND(B295=4,M295=1),IF(N295&lt;0.8,"Subgrupo 7 dias; fronteira de cluster","Subgrupo 7 dias"),IF(N295&lt;0.8,"Fronteira de cluster",""))</f>
        <v/>
      </c>
    </row>
    <row r="296" customFormat="false" ht="15" hidden="false" customHeight="false" outlineLevel="0" collapsed="false">
      <c r="A296" s="14" t="n">
        <v>295</v>
      </c>
      <c r="B296" s="14" t="n">
        <v>0</v>
      </c>
      <c r="C296" s="14" t="s">
        <v>29</v>
      </c>
      <c r="D296" s="15" t="n">
        <v>5285.43114543115</v>
      </c>
      <c r="E296" s="16" t="n">
        <f aca="false">INDEX(Parâmetros!$C$33:$C$37,MATCH(B296,Parâmetros!$A$33:$A$37,0))</f>
        <v>5476.37033462034</v>
      </c>
      <c r="F296" s="7" t="n">
        <f aca="false">MAX(0,(E296-D296)/D296)</f>
        <v>0.0361255655282239</v>
      </c>
      <c r="G296" s="7" t="n">
        <f aca="false">MIN(K296*Parâmetros!$B$19,Parâmetros!$B$8)</f>
        <v>0.0354238627819574</v>
      </c>
      <c r="H296" s="3" t="str">
        <f aca="false">IF(F296&gt;=Parâmetros!$B$6,"Ação","Acompanhamento")</f>
        <v>Acompanhamento</v>
      </c>
      <c r="I296" s="17" t="n">
        <v>301.066878980892</v>
      </c>
      <c r="J296" s="11" t="n">
        <f aca="false">D296*I296</f>
        <v>1591268.25902335</v>
      </c>
      <c r="K296" s="7" t="n">
        <f aca="false">Parâmetros!$B$4+Parâmetros!$B$5*F296</f>
        <v>0.029031391382056</v>
      </c>
      <c r="L296" s="11" t="n">
        <f aca="false">D296*(1+G296)</f>
        <v>5472.66153307038</v>
      </c>
      <c r="M296" s="14" t="n">
        <v>0</v>
      </c>
      <c r="N296" s="4" t="n">
        <v>0.963414634146341</v>
      </c>
      <c r="O296" s="3" t="str">
        <f aca="false">IF(AND(B296=4,M296=1),IF(N296&lt;0.8,"Subgrupo 7 dias; fronteira de cluster","Subgrupo 7 dias"),IF(N296&lt;0.8,"Fronteira de cluster",""))</f>
        <v/>
      </c>
    </row>
    <row r="297" customFormat="false" ht="15" hidden="false" customHeight="false" outlineLevel="0" collapsed="false">
      <c r="A297" s="14" t="n">
        <v>296</v>
      </c>
      <c r="B297" s="14" t="n">
        <v>1</v>
      </c>
      <c r="C297" s="14" t="s">
        <v>30</v>
      </c>
      <c r="D297" s="15" t="n">
        <v>6963.4609475032</v>
      </c>
      <c r="E297" s="16" t="n">
        <f aca="false">INDEX(Parâmetros!$C$33:$C$37,MATCH(B297,Parâmetros!$A$33:$A$37,0))</f>
        <v>6959.92435130262</v>
      </c>
      <c r="F297" s="7" t="n">
        <f aca="false">MAX(0,(E297-D297)/D297)</f>
        <v>0</v>
      </c>
      <c r="G297" s="7" t="n">
        <f aca="false">MIN(K297*Parâmetros!$B$19,Parâmetros!$B$8)</f>
        <v>0.0244038339849275</v>
      </c>
      <c r="H297" s="3" t="str">
        <f aca="false">IF(F297&gt;=Parâmetros!$B$6,"Ação","Acompanhamento")</f>
        <v>Acompanhamento</v>
      </c>
      <c r="I297" s="17" t="n">
        <v>302.616772823779</v>
      </c>
      <c r="J297" s="11" t="n">
        <f aca="false">D297*I297</f>
        <v>2107260.07961783</v>
      </c>
      <c r="K297" s="7" t="n">
        <f aca="false">Parâmetros!$B$4+Parâmetros!$B$5*F297</f>
        <v>0.02</v>
      </c>
      <c r="L297" s="11" t="n">
        <f aca="false">D297*(1+G297)</f>
        <v>7133.3960924266</v>
      </c>
      <c r="M297" s="14" t="n">
        <v>0</v>
      </c>
      <c r="N297" s="4" t="n">
        <v>1</v>
      </c>
      <c r="O297" s="3" t="str">
        <f aca="false">IF(AND(B297=4,M297=1),IF(N297&lt;0.8,"Subgrupo 7 dias; fronteira de cluster","Subgrupo 7 dias"),IF(N297&lt;0.8,"Fronteira de cluster",""))</f>
        <v/>
      </c>
    </row>
    <row r="298" customFormat="false" ht="15" hidden="false" customHeight="false" outlineLevel="0" collapsed="false">
      <c r="A298" s="14" t="n">
        <v>297</v>
      </c>
      <c r="B298" s="14" t="n">
        <v>0</v>
      </c>
      <c r="C298" s="14" t="s">
        <v>29</v>
      </c>
      <c r="D298" s="15" t="n">
        <v>6992.07078507079</v>
      </c>
      <c r="E298" s="16" t="n">
        <f aca="false">INDEX(Parâmetros!$C$33:$C$37,MATCH(B298,Parâmetros!$A$33:$A$37,0))</f>
        <v>5476.37033462034</v>
      </c>
      <c r="F298" s="7" t="n">
        <f aca="false">MAX(0,(E298-D298)/D298)</f>
        <v>0</v>
      </c>
      <c r="G298" s="7" t="n">
        <f aca="false">MIN(K298*Parâmetros!$B$19,Parâmetros!$B$8)</f>
        <v>0.0244038339849275</v>
      </c>
      <c r="H298" s="3" t="str">
        <f aca="false">IF(F298&gt;=Parâmetros!$B$6,"Ação","Acompanhamento")</f>
        <v>Acompanhamento</v>
      </c>
      <c r="I298" s="17" t="n">
        <v>301.066878980892</v>
      </c>
      <c r="J298" s="11" t="n">
        <f aca="false">D298*I298</f>
        <v>2105080.92887473</v>
      </c>
      <c r="K298" s="7" t="n">
        <f aca="false">Parâmetros!$B$4+Parâmetros!$B$5*F298</f>
        <v>0.02</v>
      </c>
      <c r="L298" s="11" t="n">
        <f aca="false">D298*(1+G298)</f>
        <v>7162.70411972051</v>
      </c>
      <c r="M298" s="14" t="n">
        <v>0</v>
      </c>
      <c r="N298" s="4" t="n">
        <v>0.671052631578947</v>
      </c>
      <c r="O298" s="3" t="str">
        <f aca="false">IF(AND(B298=4,M298=1),IF(N298&lt;0.8,"Subgrupo 7 dias; fronteira de cluster","Subgrupo 7 dias"),IF(N298&lt;0.8,"Fronteira de cluster",""))</f>
        <v>Fronteira de cluster</v>
      </c>
    </row>
    <row r="299" customFormat="false" ht="15" hidden="false" customHeight="false" outlineLevel="0" collapsed="false">
      <c r="A299" s="14" t="n">
        <v>298</v>
      </c>
      <c r="B299" s="14" t="n">
        <v>1</v>
      </c>
      <c r="C299" s="14" t="s">
        <v>30</v>
      </c>
      <c r="D299" s="15" t="n">
        <v>8398.61736334405</v>
      </c>
      <c r="E299" s="16" t="n">
        <f aca="false">INDEX(Parâmetros!$C$33:$C$37,MATCH(B299,Parâmetros!$A$33:$A$37,0))</f>
        <v>6959.92435130262</v>
      </c>
      <c r="F299" s="7" t="n">
        <f aca="false">MAX(0,(E299-D299)/D299)</f>
        <v>0</v>
      </c>
      <c r="G299" s="7" t="n">
        <f aca="false">MIN(K299*Parâmetros!$B$19,Parâmetros!$B$8)</f>
        <v>0.0244038339849275</v>
      </c>
      <c r="H299" s="3" t="str">
        <f aca="false">IF(F299&gt;=Parâmetros!$B$6,"Ação","Acompanhamento")</f>
        <v>Acompanhamento</v>
      </c>
      <c r="I299" s="17" t="n">
        <v>299.511873350924</v>
      </c>
      <c r="J299" s="11" t="n">
        <f aca="false">D299*I299</f>
        <v>2515485.62005277</v>
      </c>
      <c r="K299" s="7" t="n">
        <f aca="false">Parâmetros!$B$4+Parâmetros!$B$5*F299</f>
        <v>0.02</v>
      </c>
      <c r="L299" s="11" t="n">
        <f aca="false">D299*(1+G299)</f>
        <v>8603.57582718203</v>
      </c>
      <c r="M299" s="14" t="n">
        <v>0</v>
      </c>
      <c r="N299" s="4" t="n">
        <v>1</v>
      </c>
      <c r="O299" s="3" t="str">
        <f aca="false">IF(AND(B299=4,M299=1),IF(N299&lt;0.8,"Subgrupo 7 dias; fronteira de cluster","Subgrupo 7 dias"),IF(N299&lt;0.8,"Fronteira de cluster",""))</f>
        <v/>
      </c>
    </row>
    <row r="300" customFormat="false" ht="15" hidden="false" customHeight="false" outlineLevel="0" collapsed="false">
      <c r="A300" s="14" t="n">
        <v>299</v>
      </c>
      <c r="B300" s="14" t="n">
        <v>2</v>
      </c>
      <c r="C300" s="14" t="s">
        <v>31</v>
      </c>
      <c r="D300" s="15" t="n">
        <v>6235.30612244898</v>
      </c>
      <c r="E300" s="16" t="n">
        <f aca="false">INDEX(Parâmetros!$C$33:$C$37,MATCH(B300,Parâmetros!$A$33:$A$37,0))</f>
        <v>6324.80102695764</v>
      </c>
      <c r="F300" s="7" t="n">
        <f aca="false">MAX(0,(E300-D300)/D300)</f>
        <v>0.0143529287497931</v>
      </c>
      <c r="G300" s="7" t="n">
        <f aca="false">MIN(K300*Parâmetros!$B$19,Parâmetros!$B$8)</f>
        <v>0.0287821651150205</v>
      </c>
      <c r="H300" s="3" t="str">
        <f aca="false">IF(F300&gt;=Parâmetros!$B$6,"Ação","Acompanhamento")</f>
        <v>Acompanhamento</v>
      </c>
      <c r="I300" s="17" t="n">
        <v>341.751592356688</v>
      </c>
      <c r="J300" s="11" t="n">
        <f aca="false">D300*I300</f>
        <v>2130925.79617834</v>
      </c>
      <c r="K300" s="7" t="n">
        <f aca="false">Parâmetros!$B$4+Parâmetros!$B$5*F300</f>
        <v>0.0235882321874483</v>
      </c>
      <c r="L300" s="11" t="n">
        <f aca="false">D300*(1+G300)</f>
        <v>6414.771732808</v>
      </c>
      <c r="M300" s="14" t="n">
        <v>1</v>
      </c>
      <c r="N300" s="4" t="n">
        <v>0.95</v>
      </c>
      <c r="O300" s="3" t="str">
        <f aca="false">IF(AND(B300=4,M300=1),IF(N300&lt;0.8,"Subgrupo 7 dias; fronteira de cluster","Subgrupo 7 dias"),IF(N300&lt;0.8,"Fronteira de cluster",""))</f>
        <v/>
      </c>
    </row>
    <row r="301" customFormat="false" ht="15" hidden="false" customHeight="false" outlineLevel="0" collapsed="false">
      <c r="A301" s="14" t="n">
        <v>300</v>
      </c>
      <c r="B301" s="14" t="n">
        <v>4</v>
      </c>
      <c r="C301" s="14" t="s">
        <v>33</v>
      </c>
      <c r="D301" s="15" t="n">
        <v>7077.59590792839</v>
      </c>
      <c r="E301" s="16" t="n">
        <f aca="false">INDEX(Parâmetros!$C$33:$C$37,MATCH(B301,Parâmetros!$A$33:$A$37,0))</f>
        <v>8837.10512820513</v>
      </c>
      <c r="F301" s="7" t="n">
        <f aca="false">MAX(0,(E301-D301)/D301)</f>
        <v>0.248602667228532</v>
      </c>
      <c r="G301" s="7" t="n">
        <f aca="false">MIN(K301*Parâmetros!$B$19,Parâmetros!$B$8)</f>
        <v>0.100239561725618</v>
      </c>
      <c r="H301" s="3" t="str">
        <f aca="false">IF(F301&gt;=Parâmetros!$B$6,"Ação","Acompanhamento")</f>
        <v>Ação</v>
      </c>
      <c r="I301" s="17" t="n">
        <v>303.004246284501</v>
      </c>
      <c r="J301" s="11" t="n">
        <f aca="false">D301*I301</f>
        <v>2144541.61358811</v>
      </c>
      <c r="K301" s="7" t="n">
        <f aca="false">Parâmetros!$B$4+Parâmetros!$B$5*F301</f>
        <v>0.082150666807133</v>
      </c>
      <c r="L301" s="11" t="n">
        <f aca="false">D301*(1+G301)</f>
        <v>7787.05101981016</v>
      </c>
      <c r="M301" s="14" t="n">
        <v>0</v>
      </c>
      <c r="N301" s="4" t="n">
        <v>0.963414634146341</v>
      </c>
      <c r="O301" s="3" t="str">
        <f aca="false">IF(AND(B301=4,M301=1),IF(N301&lt;0.8,"Subgrupo 7 dias; fronteira de cluster","Subgrupo 7 dias"),IF(N301&lt;0.8,"Fronteira de cluster",""))</f>
        <v/>
      </c>
    </row>
    <row r="302" customFormat="false" ht="15" hidden="false" customHeight="false" outlineLevel="0" collapsed="false">
      <c r="A302" s="14" t="n">
        <v>301</v>
      </c>
      <c r="B302" s="14" t="n">
        <v>1</v>
      </c>
      <c r="C302" s="14" t="s">
        <v>30</v>
      </c>
      <c r="D302" s="15" t="n">
        <v>5538.44132653061</v>
      </c>
      <c r="E302" s="16" t="n">
        <f aca="false">INDEX(Parâmetros!$C$33:$C$37,MATCH(B302,Parâmetros!$A$33:$A$37,0))</f>
        <v>6959.92435130262</v>
      </c>
      <c r="F302" s="7" t="n">
        <f aca="false">MAX(0,(E302-D302)/D302)</f>
        <v>0.256657593890672</v>
      </c>
      <c r="G302" s="7" t="n">
        <f aca="false">MIN(K302*Parâmetros!$B$19,Parâmetros!$B$8)</f>
        <v>0.102696700388414</v>
      </c>
      <c r="H302" s="3" t="str">
        <f aca="false">IF(F302&gt;=Parâmetros!$B$6,"Ação","Acompanhamento")</f>
        <v>Ação</v>
      </c>
      <c r="I302" s="17" t="n">
        <v>303.779193205945</v>
      </c>
      <c r="J302" s="11" t="n">
        <f aca="false">D302*I302</f>
        <v>1682463.23779193</v>
      </c>
      <c r="K302" s="7" t="n">
        <f aca="false">Parâmetros!$B$4+Parâmetros!$B$5*F302</f>
        <v>0.084164398472668</v>
      </c>
      <c r="L302" s="11" t="n">
        <f aca="false">D302*(1+G302)</f>
        <v>6107.22097606013</v>
      </c>
      <c r="M302" s="14" t="n">
        <v>0</v>
      </c>
      <c r="N302" s="4" t="n">
        <v>0.986301369863014</v>
      </c>
      <c r="O302" s="3" t="str">
        <f aca="false">IF(AND(B302=4,M302=1),IF(N302&lt;0.8,"Subgrupo 7 dias; fronteira de cluster","Subgrupo 7 dias"),IF(N302&lt;0.8,"Fronteira de cluster",""))</f>
        <v/>
      </c>
    </row>
    <row r="303" customFormat="false" ht="15" hidden="false" customHeight="false" outlineLevel="0" collapsed="false">
      <c r="A303" s="14" t="n">
        <v>302</v>
      </c>
      <c r="B303" s="14" t="n">
        <v>1</v>
      </c>
      <c r="C303" s="14" t="s">
        <v>30</v>
      </c>
      <c r="D303" s="15" t="n">
        <v>3742.28425096031</v>
      </c>
      <c r="E303" s="16" t="n">
        <f aca="false">INDEX(Parâmetros!$C$33:$C$37,MATCH(B303,Parâmetros!$A$33:$A$37,0))</f>
        <v>6959.92435130262</v>
      </c>
      <c r="F303" s="7" t="n">
        <f aca="false">MAX(0,(E303-D303)/D303)</f>
        <v>0.859806440282198</v>
      </c>
      <c r="G303" s="7" t="n">
        <f aca="false">MIN(K303*Parâmetros!$B$19,Parâmetros!$B$8)</f>
        <v>0.2</v>
      </c>
      <c r="H303" s="3" t="str">
        <f aca="false">IF(F303&gt;=Parâmetros!$B$6,"Ação","Acompanhamento")</f>
        <v>Ação</v>
      </c>
      <c r="I303" s="17" t="n">
        <v>302.616772823779</v>
      </c>
      <c r="J303" s="11" t="n">
        <f aca="false">D303*I303</f>
        <v>1132477.98301486</v>
      </c>
      <c r="K303" s="7" t="n">
        <f aca="false">Parâmetros!$B$4+Parâmetros!$B$5*F303</f>
        <v>0.23495161007055</v>
      </c>
      <c r="L303" s="11" t="n">
        <f aca="false">D303*(1+G303)</f>
        <v>4490.74110115237</v>
      </c>
      <c r="M303" s="14" t="n">
        <v>0</v>
      </c>
      <c r="N303" s="4" t="n">
        <v>0.945945945945946</v>
      </c>
      <c r="O303" s="3" t="str">
        <f aca="false">IF(AND(B303=4,M303=1),IF(N303&lt;0.8,"Subgrupo 7 dias; fronteira de cluster","Subgrupo 7 dias"),IF(N303&lt;0.8,"Fronteira de cluster",""))</f>
        <v/>
      </c>
    </row>
    <row r="304" customFormat="false" ht="15" hidden="false" customHeight="false" outlineLevel="0" collapsed="false">
      <c r="A304" s="14" t="n">
        <v>303</v>
      </c>
      <c r="B304" s="14" t="n">
        <v>3</v>
      </c>
      <c r="C304" s="14" t="s">
        <v>32</v>
      </c>
      <c r="D304" s="15" t="n">
        <v>6188.15404699739</v>
      </c>
      <c r="E304" s="16" t="n">
        <f aca="false">INDEX(Parâmetros!$C$33:$C$37,MATCH(B304,Parâmetros!$A$33:$A$37,0))</f>
        <v>5909.24487179487</v>
      </c>
      <c r="F304" s="7" t="n">
        <f aca="false">MAX(0,(E304-D304)/D304)</f>
        <v>0</v>
      </c>
      <c r="G304" s="7" t="n">
        <f aca="false">MIN(K304*Parâmetros!$B$19,Parâmetros!$B$8)</f>
        <v>0.0244038339849275</v>
      </c>
      <c r="H304" s="3" t="str">
        <f aca="false">IF(F304&gt;=Parâmetros!$B$6,"Ação","Acompanhamento")</f>
        <v>Acompanhamento</v>
      </c>
      <c r="I304" s="17" t="n">
        <v>297.192144373673</v>
      </c>
      <c r="J304" s="11" t="n">
        <f aca="false">D304*I304</f>
        <v>1839070.77094178</v>
      </c>
      <c r="K304" s="7" t="n">
        <f aca="false">Parâmetros!$B$4+Parâmetros!$B$5*F304</f>
        <v>0.02</v>
      </c>
      <c r="L304" s="11" t="n">
        <f aca="false">D304*(1+G304)</f>
        <v>6339.16873103347</v>
      </c>
      <c r="M304" s="14" t="n">
        <v>0</v>
      </c>
      <c r="N304" s="4" t="n">
        <v>0.987012987012987</v>
      </c>
      <c r="O304" s="3" t="str">
        <f aca="false">IF(AND(B304=4,M304=1),IF(N304&lt;0.8,"Subgrupo 7 dias; fronteira de cluster","Subgrupo 7 dias"),IF(N304&lt;0.8,"Fronteira de cluster",""))</f>
        <v/>
      </c>
    </row>
    <row r="305" customFormat="false" ht="15" hidden="false" customHeight="false" outlineLevel="0" collapsed="false">
      <c r="A305" s="14" t="n">
        <v>304</v>
      </c>
      <c r="B305" s="14" t="n">
        <v>0</v>
      </c>
      <c r="C305" s="14" t="s">
        <v>29</v>
      </c>
      <c r="D305" s="15" t="n">
        <v>7067.70280612245</v>
      </c>
      <c r="E305" s="16" t="n">
        <f aca="false">INDEX(Parâmetros!$C$33:$C$37,MATCH(B305,Parâmetros!$A$33:$A$37,0))</f>
        <v>5476.37033462034</v>
      </c>
      <c r="F305" s="7" t="n">
        <f aca="false">MAX(0,(E305-D305)/D305)</f>
        <v>0</v>
      </c>
      <c r="G305" s="7" t="n">
        <f aca="false">MIN(K305*Parâmetros!$B$19,Parâmetros!$B$8)</f>
        <v>0.0244038339849275</v>
      </c>
      <c r="H305" s="3" t="str">
        <f aca="false">IF(F305&gt;=Parâmetros!$B$6,"Ação","Acompanhamento")</f>
        <v>Acompanhamento</v>
      </c>
      <c r="I305" s="17" t="n">
        <v>303.779193205945</v>
      </c>
      <c r="J305" s="11" t="n">
        <f aca="false">D305*I305</f>
        <v>2147021.05626327</v>
      </c>
      <c r="K305" s="7" t="n">
        <f aca="false">Parâmetros!$B$4+Parâmetros!$B$5*F305</f>
        <v>0.02</v>
      </c>
      <c r="L305" s="11" t="n">
        <f aca="false">D305*(1+G305)</f>
        <v>7240.18185205787</v>
      </c>
      <c r="M305" s="14" t="n">
        <v>0</v>
      </c>
      <c r="N305" s="4" t="n">
        <v>0.802469135802469</v>
      </c>
      <c r="O305" s="3" t="str">
        <f aca="false">IF(AND(B305=4,M305=1),IF(N305&lt;0.8,"Subgrupo 7 dias; fronteira de cluster","Subgrupo 7 dias"),IF(N305&lt;0.8,"Fronteira de cluster",""))</f>
        <v/>
      </c>
    </row>
    <row r="306" customFormat="false" ht="15" hidden="false" customHeight="false" outlineLevel="0" collapsed="false">
      <c r="A306" s="14" t="n">
        <v>305</v>
      </c>
      <c r="B306" s="14" t="n">
        <v>2</v>
      </c>
      <c r="C306" s="14" t="s">
        <v>31</v>
      </c>
      <c r="D306" s="15" t="n">
        <v>5347.34186939821</v>
      </c>
      <c r="E306" s="16" t="n">
        <f aca="false">INDEX(Parâmetros!$C$33:$C$37,MATCH(B306,Parâmetros!$A$33:$A$37,0))</f>
        <v>6324.80102695764</v>
      </c>
      <c r="F306" s="7" t="n">
        <f aca="false">MAX(0,(E306-D306)/D306)</f>
        <v>0.182793466629324</v>
      </c>
      <c r="G306" s="7" t="n">
        <f aca="false">MIN(K306*Parâmetros!$B$19,Parâmetros!$B$8)</f>
        <v>0.08016460164932</v>
      </c>
      <c r="H306" s="3" t="str">
        <f aca="false">IF(F306&gt;=Parâmetros!$B$6,"Ação","Acompanhamento")</f>
        <v>Ação</v>
      </c>
      <c r="I306" s="17" t="n">
        <v>302.616772823779</v>
      </c>
      <c r="J306" s="11" t="n">
        <f aca="false">D306*I306</f>
        <v>1618195.33970276</v>
      </c>
      <c r="K306" s="7" t="n">
        <f aca="false">Parâmetros!$B$4+Parâmetros!$B$5*F306</f>
        <v>0.0656983666573311</v>
      </c>
      <c r="L306" s="11" t="n">
        <f aca="false">D306*(1+G306)</f>
        <v>5776.00940024125</v>
      </c>
      <c r="M306" s="14" t="n">
        <v>0</v>
      </c>
      <c r="N306" s="4" t="n">
        <v>0.974683544303797</v>
      </c>
      <c r="O306" s="3" t="str">
        <f aca="false">IF(AND(B306=4,M306=1),IF(N306&lt;0.8,"Subgrupo 7 dias; fronteira de cluster","Subgrupo 7 dias"),IF(N306&lt;0.8,"Fronteira de cluster",""))</f>
        <v/>
      </c>
    </row>
    <row r="307" customFormat="false" ht="15" hidden="false" customHeight="false" outlineLevel="0" collapsed="false">
      <c r="A307" s="14" t="n">
        <v>306</v>
      </c>
      <c r="B307" s="14" t="n">
        <v>0</v>
      </c>
      <c r="C307" s="14" t="s">
        <v>29</v>
      </c>
      <c r="D307" s="15" t="n">
        <v>4368.86655948553</v>
      </c>
      <c r="E307" s="16" t="n">
        <f aca="false">INDEX(Parâmetros!$C$33:$C$37,MATCH(B307,Parâmetros!$A$33:$A$37,0))</f>
        <v>5476.37033462034</v>
      </c>
      <c r="F307" s="7" t="n">
        <f aca="false">MAX(0,(E307-D307)/D307)</f>
        <v>0.253499107847602</v>
      </c>
      <c r="G307" s="7" t="n">
        <f aca="false">MIN(K307*Parâmetros!$B$19,Parâmetros!$B$8)</f>
        <v>0.101733210775429</v>
      </c>
      <c r="H307" s="3" t="str">
        <f aca="false">IF(F307&gt;=Parâmetros!$B$6,"Ação","Acompanhamento")</f>
        <v>Ação</v>
      </c>
      <c r="I307" s="17" t="n">
        <v>299.511873350924</v>
      </c>
      <c r="J307" s="11" t="n">
        <f aca="false">D307*I307</f>
        <v>1308527.40765172</v>
      </c>
      <c r="K307" s="7" t="n">
        <f aca="false">Parâmetros!$B$4+Parâmetros!$B$5*F307</f>
        <v>0.0833747769619005</v>
      </c>
      <c r="L307" s="11" t="n">
        <f aca="false">D307*(1+G307)</f>
        <v>4813.32538203139</v>
      </c>
      <c r="M307" s="14" t="n">
        <v>0</v>
      </c>
      <c r="N307" s="4" t="n">
        <v>0.884615384615385</v>
      </c>
      <c r="O307" s="3" t="str">
        <f aca="false">IF(AND(B307=4,M307=1),IF(N307&lt;0.8,"Subgrupo 7 dias; fronteira de cluster","Subgrupo 7 dias"),IF(N307&lt;0.8,"Fronteira de cluster",""))</f>
        <v/>
      </c>
    </row>
    <row r="308" customFormat="false" ht="15" hidden="false" customHeight="false" outlineLevel="0" collapsed="false">
      <c r="A308" s="14" t="n">
        <v>307</v>
      </c>
      <c r="B308" s="14" t="n">
        <v>3</v>
      </c>
      <c r="C308" s="14" t="s">
        <v>32</v>
      </c>
      <c r="D308" s="15" t="n">
        <v>2703.73657289003</v>
      </c>
      <c r="E308" s="16" t="n">
        <f aca="false">INDEX(Parâmetros!$C$33:$C$37,MATCH(B308,Parâmetros!$A$33:$A$37,0))</f>
        <v>5909.24487179487</v>
      </c>
      <c r="F308" s="7" t="n">
        <f aca="false">MAX(0,(E308-D308)/D308)</f>
        <v>1.1855845466034</v>
      </c>
      <c r="G308" s="7" t="n">
        <f aca="false">MIN(K308*Parâmetros!$B$19,Parâmetros!$B$8)</f>
        <v>0.2</v>
      </c>
      <c r="H308" s="3" t="str">
        <f aca="false">IF(F308&gt;=Parâmetros!$B$6,"Ação","Acompanhamento")</f>
        <v>Ação</v>
      </c>
      <c r="I308" s="17" t="n">
        <v>303.004246284501</v>
      </c>
      <c r="J308" s="11" t="n">
        <f aca="false">D308*I308</f>
        <v>819243.662420382</v>
      </c>
      <c r="K308" s="7" t="n">
        <f aca="false">Parâmetros!$B$4+Parâmetros!$B$5*F308</f>
        <v>0.31639613665085</v>
      </c>
      <c r="L308" s="11" t="n">
        <f aca="false">D308*(1+G308)</f>
        <v>3244.48388746803</v>
      </c>
      <c r="M308" s="14" t="n">
        <v>0</v>
      </c>
      <c r="N308" s="4" t="n">
        <v>1</v>
      </c>
      <c r="O308" s="3" t="str">
        <f aca="false">IF(AND(B308=4,M308=1),IF(N308&lt;0.8,"Subgrupo 7 dias; fronteira de cluster","Subgrupo 7 dias"),IF(N308&lt;0.8,"Fronteira de cluster",""))</f>
        <v/>
      </c>
    </row>
    <row r="309" customFormat="false" ht="15" hidden="false" customHeight="false" outlineLevel="0" collapsed="false">
      <c r="A309" s="14" t="n">
        <v>308</v>
      </c>
      <c r="B309" s="14" t="n">
        <v>1</v>
      </c>
      <c r="C309" s="14" t="s">
        <v>30</v>
      </c>
      <c r="D309" s="15" t="n">
        <v>9353.16276041667</v>
      </c>
      <c r="E309" s="16" t="n">
        <f aca="false">INDEX(Parâmetros!$C$33:$C$37,MATCH(B309,Parâmetros!$A$33:$A$37,0))</f>
        <v>6959.92435130262</v>
      </c>
      <c r="F309" s="7" t="n">
        <f aca="false">MAX(0,(E309-D309)/D309)</f>
        <v>0</v>
      </c>
      <c r="G309" s="7" t="n">
        <f aca="false">MIN(K309*Parâmetros!$B$19,Parâmetros!$B$8)</f>
        <v>0.0244038339849275</v>
      </c>
      <c r="H309" s="3" t="str">
        <f aca="false">IF(F309&gt;=Parâmetros!$B$6,"Ação","Acompanhamento")</f>
        <v>Acompanhamento</v>
      </c>
      <c r="I309" s="17" t="n">
        <v>297.579617834395</v>
      </c>
      <c r="J309" s="11" t="n">
        <f aca="false">D309*I309</f>
        <v>2783310.59978769</v>
      </c>
      <c r="K309" s="7" t="n">
        <f aca="false">Parâmetros!$B$4+Parâmetros!$B$5*F309</f>
        <v>0.02</v>
      </c>
      <c r="L309" s="11" t="n">
        <f aca="false">D309*(1+G309)</f>
        <v>9581.41579165588</v>
      </c>
      <c r="M309" s="14" t="n">
        <v>0</v>
      </c>
      <c r="N309" s="4" t="n">
        <v>0.825</v>
      </c>
      <c r="O309" s="3" t="str">
        <f aca="false">IF(AND(B309=4,M309=1),IF(N309&lt;0.8,"Subgrupo 7 dias; fronteira de cluster","Subgrupo 7 dias"),IF(N309&lt;0.8,"Fronteira de cluster",""))</f>
        <v/>
      </c>
    </row>
    <row r="310" customFormat="false" ht="15" hidden="false" customHeight="false" outlineLevel="0" collapsed="false">
      <c r="A310" s="14" t="n">
        <v>309</v>
      </c>
      <c r="B310" s="14" t="n">
        <v>1</v>
      </c>
      <c r="C310" s="14" t="s">
        <v>30</v>
      </c>
      <c r="D310" s="15" t="n">
        <v>6971.31964056483</v>
      </c>
      <c r="E310" s="16" t="n">
        <f aca="false">INDEX(Parâmetros!$C$33:$C$37,MATCH(B310,Parâmetros!$A$33:$A$37,0))</f>
        <v>6959.92435130262</v>
      </c>
      <c r="F310" s="7" t="n">
        <f aca="false">MAX(0,(E310-D310)/D310)</f>
        <v>0</v>
      </c>
      <c r="G310" s="7" t="n">
        <f aca="false">MIN(K310*Parâmetros!$B$19,Parâmetros!$B$8)</f>
        <v>0.0244038339849275</v>
      </c>
      <c r="H310" s="3" t="str">
        <f aca="false">IF(F310&gt;=Parâmetros!$B$6,"Ação","Acompanhamento")</f>
        <v>Acompanhamento</v>
      </c>
      <c r="I310" s="17" t="n">
        <v>301.841825902336</v>
      </c>
      <c r="J310" s="11" t="n">
        <f aca="false">D310*I310</f>
        <v>2104235.8492569</v>
      </c>
      <c r="K310" s="7" t="n">
        <f aca="false">Parâmetros!$B$4+Parâmetros!$B$5*F310</f>
        <v>0.02</v>
      </c>
      <c r="L310" s="11" t="n">
        <f aca="false">D310*(1+G310)</f>
        <v>7141.44656772904</v>
      </c>
      <c r="M310" s="14" t="n">
        <v>0</v>
      </c>
      <c r="N310" s="4" t="n">
        <v>1</v>
      </c>
      <c r="O310" s="3" t="str">
        <f aca="false">IF(AND(B310=4,M310=1),IF(N310&lt;0.8,"Subgrupo 7 dias; fronteira de cluster","Subgrupo 7 dias"),IF(N310&lt;0.8,"Fronteira de cluster",""))</f>
        <v/>
      </c>
    </row>
    <row r="311" customFormat="false" ht="15" hidden="false" customHeight="false" outlineLevel="0" collapsed="false">
      <c r="A311" s="14" t="n">
        <v>310</v>
      </c>
      <c r="B311" s="14" t="n">
        <v>3</v>
      </c>
      <c r="C311" s="14" t="s">
        <v>32</v>
      </c>
      <c r="D311" s="15" t="n">
        <v>8236.36343366778</v>
      </c>
      <c r="E311" s="16" t="n">
        <f aca="false">INDEX(Parâmetros!$C$33:$C$37,MATCH(B311,Parâmetros!$A$33:$A$37,0))</f>
        <v>5909.24487179487</v>
      </c>
      <c r="F311" s="7" t="n">
        <f aca="false">MAX(0,(E311-D311)/D311)</f>
        <v>0</v>
      </c>
      <c r="G311" s="7" t="n">
        <f aca="false">MIN(K311*Parâmetros!$B$19,Parâmetros!$B$8)</f>
        <v>0.0244038339849275</v>
      </c>
      <c r="H311" s="3" t="str">
        <f aca="false">IF(F311&gt;=Parâmetros!$B$6,"Ação","Acompanhamento")</f>
        <v>Acompanhamento</v>
      </c>
      <c r="I311" s="17" t="n">
        <v>347.563694267516</v>
      </c>
      <c r="J311" s="11" t="n">
        <f aca="false">D311*I311</f>
        <v>2862660.90233546</v>
      </c>
      <c r="K311" s="7" t="n">
        <f aca="false">Parâmetros!$B$4+Parâmetros!$B$5*F311</f>
        <v>0.02</v>
      </c>
      <c r="L311" s="11" t="n">
        <f aca="false">D311*(1+G311)</f>
        <v>8437.36227954254</v>
      </c>
      <c r="M311" s="14" t="n">
        <v>1</v>
      </c>
      <c r="N311" s="4" t="n">
        <v>1</v>
      </c>
      <c r="O311" s="3" t="str">
        <f aca="false">IF(AND(B311=4,M311=1),IF(N311&lt;0.8,"Subgrupo 7 dias; fronteira de cluster","Subgrupo 7 dias"),IF(N311&lt;0.8,"Fronteira de cluster",""))</f>
        <v/>
      </c>
    </row>
    <row r="312" customFormat="false" ht="15" hidden="false" customHeight="false" outlineLevel="0" collapsed="false">
      <c r="A312" s="14" t="n">
        <v>311</v>
      </c>
      <c r="B312" s="14" t="n">
        <v>4</v>
      </c>
      <c r="C312" s="14" t="s">
        <v>33</v>
      </c>
      <c r="D312" s="15" t="n">
        <v>6638.58770806658</v>
      </c>
      <c r="E312" s="16" t="n">
        <f aca="false">INDEX(Parâmetros!$C$33:$C$37,MATCH(B312,Parâmetros!$A$33:$A$37,0))</f>
        <v>8837.10512820513</v>
      </c>
      <c r="F312" s="7" t="n">
        <f aca="false">MAX(0,(E312-D312)/D312)</f>
        <v>0.331172459688545</v>
      </c>
      <c r="G312" s="7" t="n">
        <f aca="false">MIN(K312*Parâmetros!$B$19,Parâmetros!$B$8)</f>
        <v>0.125427305567669</v>
      </c>
      <c r="H312" s="3" t="str">
        <f aca="false">IF(F312&gt;=Parâmetros!$B$6,"Ação","Acompanhamento")</f>
        <v>Ação</v>
      </c>
      <c r="I312" s="17" t="n">
        <v>302.616772823779</v>
      </c>
      <c r="J312" s="11" t="n">
        <f aca="false">D312*I312</f>
        <v>2008947.98832272</v>
      </c>
      <c r="K312" s="7" t="n">
        <f aca="false">Parâmetros!$B$4+Parâmetros!$B$5*F312</f>
        <v>0.102793114922136</v>
      </c>
      <c r="L312" s="11" t="n">
        <f aca="false">D312*(1+G312)</f>
        <v>7471.24787706402</v>
      </c>
      <c r="M312" s="14" t="n">
        <v>0</v>
      </c>
      <c r="N312" s="4" t="n">
        <v>0.550561797752809</v>
      </c>
      <c r="O312" s="3" t="str">
        <f aca="false">IF(AND(B312=4,M312=1),IF(N312&lt;0.8,"Subgrupo 7 dias; fronteira de cluster","Subgrupo 7 dias"),IF(N312&lt;0.8,"Fronteira de cluster",""))</f>
        <v>Fronteira de cluster</v>
      </c>
    </row>
    <row r="313" customFormat="false" ht="15" hidden="false" customHeight="false" outlineLevel="0" collapsed="false">
      <c r="A313" s="14" t="n">
        <v>312</v>
      </c>
      <c r="B313" s="14" t="n">
        <v>1</v>
      </c>
      <c r="C313" s="14" t="s">
        <v>30</v>
      </c>
      <c r="D313" s="15" t="n">
        <v>5568.15749039693</v>
      </c>
      <c r="E313" s="16" t="n">
        <f aca="false">INDEX(Parâmetros!$C$33:$C$37,MATCH(B313,Parâmetros!$A$33:$A$37,0))</f>
        <v>6959.92435130262</v>
      </c>
      <c r="F313" s="7" t="n">
        <f aca="false">MAX(0,(E313-D313)/D313)</f>
        <v>0.249951058910599</v>
      </c>
      <c r="G313" s="7" t="n">
        <f aca="false">MIN(K313*Parâmetros!$B$19,Parâmetros!$B$8)</f>
        <v>0.100650885810066</v>
      </c>
      <c r="H313" s="3" t="str">
        <f aca="false">IF(F313&gt;=Parâmetros!$B$6,"Ação","Acompanhamento")</f>
        <v>Ação</v>
      </c>
      <c r="I313" s="17" t="n">
        <v>302.616772823779</v>
      </c>
      <c r="J313" s="11" t="n">
        <f aca="false">D313*I313</f>
        <v>1685017.85031847</v>
      </c>
      <c r="K313" s="7" t="n">
        <f aca="false">Parâmetros!$B$4+Parâmetros!$B$5*F313</f>
        <v>0.0824877647276497</v>
      </c>
      <c r="L313" s="11" t="n">
        <f aca="false">D313*(1+G313)</f>
        <v>6128.59747413533</v>
      </c>
      <c r="M313" s="14" t="n">
        <v>0</v>
      </c>
      <c r="N313" s="4" t="n">
        <v>0.952380952380952</v>
      </c>
      <c r="O313" s="3" t="str">
        <f aca="false">IF(AND(B313=4,M313=1),IF(N313&lt;0.8,"Subgrupo 7 dias; fronteira de cluster","Subgrupo 7 dias"),IF(N313&lt;0.8,"Fronteira de cluster",""))</f>
        <v/>
      </c>
    </row>
    <row r="314" customFormat="false" ht="15" hidden="false" customHeight="false" outlineLevel="0" collapsed="false">
      <c r="A314" s="14" t="n">
        <v>313</v>
      </c>
      <c r="B314" s="14" t="n">
        <v>3</v>
      </c>
      <c r="C314" s="14" t="s">
        <v>32</v>
      </c>
      <c r="D314" s="15" t="n">
        <v>7075.49488491049</v>
      </c>
      <c r="E314" s="16" t="n">
        <f aca="false">INDEX(Parâmetros!$C$33:$C$37,MATCH(B314,Parâmetros!$A$33:$A$37,0))</f>
        <v>5909.24487179487</v>
      </c>
      <c r="F314" s="7" t="n">
        <f aca="false">MAX(0,(E314-D314)/D314)</f>
        <v>0</v>
      </c>
      <c r="G314" s="7" t="n">
        <f aca="false">MIN(K314*Parâmetros!$B$19,Parâmetros!$B$8)</f>
        <v>0.0244038339849275</v>
      </c>
      <c r="H314" s="3" t="str">
        <f aca="false">IF(F314&gt;=Parâmetros!$B$6,"Ação","Acompanhamento")</f>
        <v>Acompanhamento</v>
      </c>
      <c r="I314" s="17" t="n">
        <v>303.004246284501</v>
      </c>
      <c r="J314" s="11" t="n">
        <f aca="false">D314*I314</f>
        <v>2143904.99469214</v>
      </c>
      <c r="K314" s="7" t="n">
        <f aca="false">Parâmetros!$B$4+Parâmetros!$B$5*F314</f>
        <v>0.02</v>
      </c>
      <c r="L314" s="11" t="n">
        <f aca="false">D314*(1+G314)</f>
        <v>7248.16408744305</v>
      </c>
      <c r="M314" s="14" t="n">
        <v>0</v>
      </c>
      <c r="N314" s="4" t="n">
        <v>1</v>
      </c>
      <c r="O314" s="3" t="str">
        <f aca="false">IF(AND(B314=4,M314=1),IF(N314&lt;0.8,"Subgrupo 7 dias; fronteira de cluster","Subgrupo 7 dias"),IF(N314&lt;0.8,"Fronteira de cluster",""))</f>
        <v/>
      </c>
    </row>
    <row r="315" customFormat="false" ht="15" hidden="false" customHeight="false" outlineLevel="0" collapsed="false">
      <c r="A315" s="14" t="n">
        <v>314</v>
      </c>
      <c r="B315" s="14" t="n">
        <v>0</v>
      </c>
      <c r="C315" s="14" t="s">
        <v>29</v>
      </c>
      <c r="D315" s="15" t="n">
        <v>5137.71501925546</v>
      </c>
      <c r="E315" s="16" t="n">
        <f aca="false">INDEX(Parâmetros!$C$33:$C$37,MATCH(B315,Parâmetros!$A$33:$A$37,0))</f>
        <v>5476.37033462034</v>
      </c>
      <c r="F315" s="7" t="n">
        <f aca="false">MAX(0,(E315-D315)/D315)</f>
        <v>0.0659155508033523</v>
      </c>
      <c r="G315" s="7" t="n">
        <f aca="false">MIN(K315*Parâmetros!$B$19,Parâmetros!$B$8)</f>
        <v>0.0445112359703032</v>
      </c>
      <c r="H315" s="3" t="str">
        <f aca="false">IF(F315&gt;=Parâmetros!$B$6,"Ação","Acompanhamento")</f>
        <v>Acompanhamento</v>
      </c>
      <c r="I315" s="17" t="n">
        <v>301.841825902336</v>
      </c>
      <c r="J315" s="11" t="n">
        <f aca="false">D315*I315</f>
        <v>1550777.28237792</v>
      </c>
      <c r="K315" s="7" t="n">
        <f aca="false">Parâmetros!$B$4+Parâmetros!$B$5*F315</f>
        <v>0.0364788877008381</v>
      </c>
      <c r="L315" s="11" t="n">
        <f aca="false">D315*(1+G315)</f>
        <v>5366.40106482571</v>
      </c>
      <c r="M315" s="14" t="n">
        <v>0</v>
      </c>
      <c r="N315" s="4" t="n">
        <v>0.986842105263158</v>
      </c>
      <c r="O315" s="3" t="str">
        <f aca="false">IF(AND(B315=4,M315=1),IF(N315&lt;0.8,"Subgrupo 7 dias; fronteira de cluster","Subgrupo 7 dias"),IF(N315&lt;0.8,"Fronteira de cluster",""))</f>
        <v/>
      </c>
    </row>
    <row r="316" customFormat="false" ht="15" hidden="false" customHeight="false" outlineLevel="0" collapsed="false">
      <c r="A316" s="14" t="n">
        <v>315</v>
      </c>
      <c r="B316" s="14" t="n">
        <v>1</v>
      </c>
      <c r="C316" s="14" t="s">
        <v>30</v>
      </c>
      <c r="D316" s="15" t="n">
        <v>4252.41071428572</v>
      </c>
      <c r="E316" s="16" t="n">
        <f aca="false">INDEX(Parâmetros!$C$33:$C$37,MATCH(B316,Parâmetros!$A$33:$A$37,0))</f>
        <v>6959.92435130262</v>
      </c>
      <c r="F316" s="7" t="n">
        <f aca="false">MAX(0,(E316-D316)/D316)</f>
        <v>0.636700878379687</v>
      </c>
      <c r="G316" s="7" t="n">
        <f aca="false">MIN(K316*Parâmetros!$B$19,Parâmetros!$B$8)</f>
        <v>0.2</v>
      </c>
      <c r="H316" s="3" t="str">
        <f aca="false">IF(F316&gt;=Parâmetros!$B$6,"Ação","Acompanhamento")</f>
        <v>Ação</v>
      </c>
      <c r="I316" s="17" t="n">
        <v>303.779193205945</v>
      </c>
      <c r="J316" s="11" t="n">
        <f aca="false">D316*I316</f>
        <v>1291793.89596603</v>
      </c>
      <c r="K316" s="7" t="n">
        <f aca="false">Parâmetros!$B$4+Parâmetros!$B$5*F316</f>
        <v>0.179175219594922</v>
      </c>
      <c r="L316" s="11" t="n">
        <f aca="false">D316*(1+G316)</f>
        <v>5102.89285714286</v>
      </c>
      <c r="M316" s="14" t="n">
        <v>0</v>
      </c>
      <c r="N316" s="4" t="n">
        <v>0.986486486486486</v>
      </c>
      <c r="O316" s="3" t="str">
        <f aca="false">IF(AND(B316=4,M316=1),IF(N316&lt;0.8,"Subgrupo 7 dias; fronteira de cluster","Subgrupo 7 dias"),IF(N316&lt;0.8,"Fronteira de cluster",""))</f>
        <v/>
      </c>
    </row>
    <row r="317" customFormat="false" ht="15" hidden="false" customHeight="false" outlineLevel="0" collapsed="false">
      <c r="A317" s="14" t="n">
        <v>316</v>
      </c>
      <c r="B317" s="14" t="n">
        <v>1</v>
      </c>
      <c r="C317" s="14" t="s">
        <v>30</v>
      </c>
      <c r="D317" s="15" t="n">
        <v>9855.62516046213</v>
      </c>
      <c r="E317" s="16" t="n">
        <f aca="false">INDEX(Parâmetros!$C$33:$C$37,MATCH(B317,Parâmetros!$A$33:$A$37,0))</f>
        <v>6959.92435130262</v>
      </c>
      <c r="F317" s="7" t="n">
        <f aca="false">MAX(0,(E317-D317)/D317)</f>
        <v>0</v>
      </c>
      <c r="G317" s="7" t="n">
        <f aca="false">MIN(K317*Parâmetros!$B$19,Parâmetros!$B$8)</f>
        <v>0.0244038339849275</v>
      </c>
      <c r="H317" s="3" t="str">
        <f aca="false">IF(F317&gt;=Parâmetros!$B$6,"Ação","Acompanhamento")</f>
        <v>Acompanhamento</v>
      </c>
      <c r="I317" s="17" t="n">
        <v>301.841825902336</v>
      </c>
      <c r="J317" s="11" t="n">
        <f aca="false">D317*I317</f>
        <v>2974839.89384289</v>
      </c>
      <c r="K317" s="7" t="n">
        <f aca="false">Parâmetros!$B$4+Parâmetros!$B$5*F317</f>
        <v>0.02</v>
      </c>
      <c r="L317" s="11" t="n">
        <f aca="false">D317*(1+G317)</f>
        <v>10096.1402006957</v>
      </c>
      <c r="M317" s="14" t="n">
        <v>0</v>
      </c>
      <c r="N317" s="4" t="n">
        <v>1</v>
      </c>
      <c r="O317" s="3" t="str">
        <f aca="false">IF(AND(B317=4,M317=1),IF(N317&lt;0.8,"Subgrupo 7 dias; fronteira de cluster","Subgrupo 7 dias"),IF(N317&lt;0.8,"Fronteira de cluster",""))</f>
        <v/>
      </c>
    </row>
    <row r="318" customFormat="false" ht="15" hidden="false" customHeight="false" outlineLevel="0" collapsed="false">
      <c r="A318" s="14" t="n">
        <v>317</v>
      </c>
      <c r="B318" s="14" t="n">
        <v>1</v>
      </c>
      <c r="C318" s="14" t="s">
        <v>30</v>
      </c>
      <c r="D318" s="15" t="n">
        <v>5379.48553054662</v>
      </c>
      <c r="E318" s="16" t="n">
        <f aca="false">INDEX(Parâmetros!$C$33:$C$37,MATCH(B318,Parâmetros!$A$33:$A$37,0))</f>
        <v>6959.92435130262</v>
      </c>
      <c r="F318" s="7" t="n">
        <f aca="false">MAX(0,(E318-D318)/D318)</f>
        <v>0.293789956638364</v>
      </c>
      <c r="G318" s="7" t="n">
        <f aca="false">MIN(K318*Parâmetros!$B$19,Parâmetros!$B$8)</f>
        <v>0.114023850587948</v>
      </c>
      <c r="H318" s="3" t="str">
        <f aca="false">IF(F318&gt;=Parâmetros!$B$6,"Ação","Acompanhamento")</f>
        <v>Ação</v>
      </c>
      <c r="I318" s="17" t="n">
        <v>299.511873350924</v>
      </c>
      <c r="J318" s="11" t="n">
        <f aca="false">D318*I318</f>
        <v>1611219.78891821</v>
      </c>
      <c r="K318" s="7" t="n">
        <f aca="false">Parâmetros!$B$4+Parâmetros!$B$5*F318</f>
        <v>0.0934474891595909</v>
      </c>
      <c r="L318" s="11" t="n">
        <f aca="false">D318*(1+G318)</f>
        <v>5992.8751849217</v>
      </c>
      <c r="M318" s="14" t="n">
        <v>0</v>
      </c>
      <c r="N318" s="4" t="n">
        <v>1</v>
      </c>
      <c r="O318" s="3" t="str">
        <f aca="false">IF(AND(B318=4,M318=1),IF(N318&lt;0.8,"Subgrupo 7 dias; fronteira de cluster","Subgrupo 7 dias"),IF(N318&lt;0.8,"Fronteira de cluster",""))</f>
        <v/>
      </c>
    </row>
    <row r="319" customFormat="false" ht="15" hidden="false" customHeight="false" outlineLevel="0" collapsed="false">
      <c r="A319" s="14" t="n">
        <v>318</v>
      </c>
      <c r="B319" s="14" t="n">
        <v>1</v>
      </c>
      <c r="C319" s="14" t="s">
        <v>30</v>
      </c>
      <c r="D319" s="15" t="n">
        <v>7527.71666666667</v>
      </c>
      <c r="E319" s="16" t="n">
        <f aca="false">INDEX(Parâmetros!$C$33:$C$37,MATCH(B319,Parâmetros!$A$33:$A$37,0))</f>
        <v>6959.92435130262</v>
      </c>
      <c r="F319" s="7" t="n">
        <f aca="false">MAX(0,(E319-D319)/D319)</f>
        <v>0</v>
      </c>
      <c r="G319" s="7" t="n">
        <f aca="false">MIN(K319*Parâmetros!$B$19,Parâmetros!$B$8)</f>
        <v>0.0244038339849275</v>
      </c>
      <c r="H319" s="3" t="str">
        <f aca="false">IF(F319&gt;=Parâmetros!$B$6,"Ação","Acompanhamento")</f>
        <v>Acompanhamento</v>
      </c>
      <c r="I319" s="17" t="n">
        <v>302.229299363057</v>
      </c>
      <c r="J319" s="11" t="n">
        <f aca="false">D319*I319</f>
        <v>2275096.53397028</v>
      </c>
      <c r="K319" s="7" t="n">
        <f aca="false">Parâmetros!$B$4+Parâmetros!$B$5*F319</f>
        <v>0.02</v>
      </c>
      <c r="L319" s="11" t="n">
        <f aca="false">D319*(1+G319)</f>
        <v>7711.42181448557</v>
      </c>
      <c r="M319" s="14" t="n">
        <v>0</v>
      </c>
      <c r="N319" s="4" t="n">
        <v>0.976470588235294</v>
      </c>
      <c r="O319" s="3" t="str">
        <f aca="false">IF(AND(B319=4,M319=1),IF(N319&lt;0.8,"Subgrupo 7 dias; fronteira de cluster","Subgrupo 7 dias"),IF(N319&lt;0.8,"Fronteira de cluster",""))</f>
        <v/>
      </c>
    </row>
    <row r="320" customFormat="false" ht="15" hidden="false" customHeight="false" outlineLevel="0" collapsed="false">
      <c r="A320" s="14" t="n">
        <v>319</v>
      </c>
      <c r="B320" s="14" t="n">
        <v>4</v>
      </c>
      <c r="C320" s="14" t="s">
        <v>33</v>
      </c>
      <c r="D320" s="15" t="n">
        <v>7787.07653061225</v>
      </c>
      <c r="E320" s="16" t="n">
        <f aca="false">INDEX(Parâmetros!$C$33:$C$37,MATCH(B320,Parâmetros!$A$33:$A$37,0))</f>
        <v>8837.10512820513</v>
      </c>
      <c r="F320" s="7" t="n">
        <f aca="false">MAX(0,(E320-D320)/D320)</f>
        <v>0.134842465393149</v>
      </c>
      <c r="G320" s="7" t="n">
        <f aca="false">MIN(K320*Parâmetros!$B$19,Parâmetros!$B$8)</f>
        <v>0.0655372482295866</v>
      </c>
      <c r="H320" s="3" t="str">
        <f aca="false">IF(F320&gt;=Parâmetros!$B$6,"Ação","Acompanhamento")</f>
        <v>Ação</v>
      </c>
      <c r="I320" s="17" t="n">
        <v>303.779193205945</v>
      </c>
      <c r="J320" s="11" t="n">
        <f aca="false">D320*I320</f>
        <v>2365551.82590234</v>
      </c>
      <c r="K320" s="7" t="n">
        <f aca="false">Parâmetros!$B$4+Parâmetros!$B$5*F320</f>
        <v>0.0537106163482872</v>
      </c>
      <c r="L320" s="11" t="n">
        <f aca="false">D320*(1+G320)</f>
        <v>8297.42009818177</v>
      </c>
      <c r="M320" s="14" t="n">
        <v>0</v>
      </c>
      <c r="N320" s="4" t="n">
        <v>0.963855421686747</v>
      </c>
      <c r="O320" s="3" t="str">
        <f aca="false">IF(AND(B320=4,M320=1),IF(N320&lt;0.8,"Subgrupo 7 dias; fronteira de cluster","Subgrupo 7 dias"),IF(N320&lt;0.8,"Fronteira de cluster",""))</f>
        <v/>
      </c>
    </row>
    <row r="321" customFormat="false" ht="15" hidden="false" customHeight="false" outlineLevel="0" collapsed="false">
      <c r="A321" s="14" t="n">
        <v>320</v>
      </c>
      <c r="B321" s="14" t="n">
        <v>4</v>
      </c>
      <c r="C321" s="14" t="s">
        <v>33</v>
      </c>
      <c r="D321" s="15" t="n">
        <v>14834.4617346939</v>
      </c>
      <c r="E321" s="16" t="n">
        <f aca="false">INDEX(Parâmetros!$C$33:$C$37,MATCH(B321,Parâmetros!$A$33:$A$37,0))</f>
        <v>8837.10512820513</v>
      </c>
      <c r="F321" s="7" t="n">
        <f aca="false">MAX(0,(E321-D321)/D321)</f>
        <v>0</v>
      </c>
      <c r="G321" s="7" t="n">
        <f aca="false">MIN(K321*Parâmetros!$B$19,Parâmetros!$B$8)</f>
        <v>0.0244038339849275</v>
      </c>
      <c r="H321" s="3" t="str">
        <f aca="false">IF(F321&gt;=Parâmetros!$B$6,"Ação","Acompanhamento")</f>
        <v>Acompanhamento</v>
      </c>
      <c r="I321" s="17" t="n">
        <v>303.779193205945</v>
      </c>
      <c r="J321" s="11" t="n">
        <f aca="false">D321*I321</f>
        <v>4506400.81740977</v>
      </c>
      <c r="K321" s="7" t="n">
        <f aca="false">Parâmetros!$B$4+Parâmetros!$B$5*F321</f>
        <v>0.02</v>
      </c>
      <c r="L321" s="11" t="n">
        <f aca="false">D321*(1+G321)</f>
        <v>15196.4794761231</v>
      </c>
      <c r="M321" s="14" t="n">
        <v>0</v>
      </c>
      <c r="N321" s="4" t="n">
        <v>0.974025974025974</v>
      </c>
      <c r="O321" s="3" t="str">
        <f aca="false">IF(AND(B321=4,M321=1),IF(N321&lt;0.8,"Subgrupo 7 dias; fronteira de cluster","Subgrupo 7 dias"),IF(N321&lt;0.8,"Fronteira de cluster",""))</f>
        <v/>
      </c>
    </row>
    <row r="322" customFormat="false" ht="15" hidden="false" customHeight="false" outlineLevel="0" collapsed="false">
      <c r="A322" s="14" t="n">
        <v>321</v>
      </c>
      <c r="B322" s="14" t="n">
        <v>1</v>
      </c>
      <c r="C322" s="14" t="s">
        <v>30</v>
      </c>
      <c r="D322" s="15" t="n">
        <v>5958.31794871795</v>
      </c>
      <c r="E322" s="16" t="n">
        <f aca="false">INDEX(Parâmetros!$C$33:$C$37,MATCH(B322,Parâmetros!$A$33:$A$37,0))</f>
        <v>6959.92435130262</v>
      </c>
      <c r="F322" s="7" t="n">
        <f aca="false">MAX(0,(E322-D322)/D322)</f>
        <v>0.168102207905872</v>
      </c>
      <c r="G322" s="7" t="n">
        <f aca="false">MIN(K322*Parâmetros!$B$19,Parâmetros!$B$8)</f>
        <v>0.0756830636628607</v>
      </c>
      <c r="H322" s="3" t="str">
        <f aca="false">IF(F322&gt;=Parâmetros!$B$6,"Ação","Acompanhamento")</f>
        <v>Ação</v>
      </c>
      <c r="I322" s="17" t="n">
        <v>302.229299363057</v>
      </c>
      <c r="J322" s="11" t="n">
        <f aca="false">D322*I322</f>
        <v>1800778.25902335</v>
      </c>
      <c r="K322" s="7" t="n">
        <f aca="false">Parâmetros!$B$4+Parâmetros!$B$5*F322</f>
        <v>0.062025551976468</v>
      </c>
      <c r="L322" s="11" t="n">
        <f aca="false">D322*(1+G322)</f>
        <v>6409.26170535433</v>
      </c>
      <c r="M322" s="14" t="n">
        <v>0</v>
      </c>
      <c r="N322" s="4" t="n">
        <v>1</v>
      </c>
      <c r="O322" s="3" t="str">
        <f aca="false">IF(AND(B322=4,M322=1),IF(N322&lt;0.8,"Subgrupo 7 dias; fronteira de cluster","Subgrupo 7 dias"),IF(N322&lt;0.8,"Fronteira de cluster",""))</f>
        <v/>
      </c>
    </row>
    <row r="323" customFormat="false" ht="15" hidden="false" customHeight="false" outlineLevel="0" collapsed="false">
      <c r="A323" s="14" t="n">
        <v>322</v>
      </c>
      <c r="B323" s="14" t="n">
        <v>3</v>
      </c>
      <c r="C323" s="14" t="s">
        <v>32</v>
      </c>
      <c r="D323" s="15" t="n">
        <v>5021.1726342711</v>
      </c>
      <c r="E323" s="16" t="n">
        <f aca="false">INDEX(Parâmetros!$C$33:$C$37,MATCH(B323,Parâmetros!$A$33:$A$37,0))</f>
        <v>5909.24487179487</v>
      </c>
      <c r="F323" s="7" t="n">
        <f aca="false">MAX(0,(E323-D323)/D323)</f>
        <v>0.176865505770982</v>
      </c>
      <c r="G323" s="7" t="n">
        <f aca="false">MIN(K323*Parâmetros!$B$19,Parâmetros!$B$8)</f>
        <v>0.0783562894911184</v>
      </c>
      <c r="H323" s="3" t="str">
        <f aca="false">IF(F323&gt;=Parâmetros!$B$6,"Ação","Acompanhamento")</f>
        <v>Ação</v>
      </c>
      <c r="I323" s="17" t="n">
        <v>303.004246284501</v>
      </c>
      <c r="J323" s="11" t="n">
        <f aca="false">D323*I323</f>
        <v>1521436.62951168</v>
      </c>
      <c r="K323" s="7" t="n">
        <f aca="false">Parâmetros!$B$4+Parâmetros!$B$5*F323</f>
        <v>0.0642163764427455</v>
      </c>
      <c r="L323" s="11" t="n">
        <f aca="false">D323*(1+G323)</f>
        <v>5414.61309078693</v>
      </c>
      <c r="M323" s="14" t="n">
        <v>0</v>
      </c>
      <c r="N323" s="4" t="n">
        <v>1</v>
      </c>
      <c r="O323" s="3" t="str">
        <f aca="false">IF(AND(B323=4,M323=1),IF(N323&lt;0.8,"Subgrupo 7 dias; fronteira de cluster","Subgrupo 7 dias"),IF(N323&lt;0.8,"Fronteira de cluster",""))</f>
        <v/>
      </c>
    </row>
    <row r="324" customFormat="false" ht="15" hidden="false" customHeight="false" outlineLevel="0" collapsed="false">
      <c r="A324" s="14" t="n">
        <v>323</v>
      </c>
      <c r="B324" s="14" t="n">
        <v>1</v>
      </c>
      <c r="C324" s="14" t="s">
        <v>30</v>
      </c>
      <c r="D324" s="15" t="n">
        <v>7365.3594351733</v>
      </c>
      <c r="E324" s="16" t="n">
        <f aca="false">INDEX(Parâmetros!$C$33:$C$37,MATCH(B324,Parâmetros!$A$33:$A$37,0))</f>
        <v>6959.92435130262</v>
      </c>
      <c r="F324" s="7" t="n">
        <f aca="false">MAX(0,(E324-D324)/D324)</f>
        <v>0</v>
      </c>
      <c r="G324" s="7" t="n">
        <f aca="false">MIN(K324*Parâmetros!$B$19,Parâmetros!$B$8)</f>
        <v>0.0244038339849275</v>
      </c>
      <c r="H324" s="3" t="str">
        <f aca="false">IF(F324&gt;=Parâmetros!$B$6,"Ação","Acompanhamento")</f>
        <v>Acompanhamento</v>
      </c>
      <c r="I324" s="17" t="n">
        <v>301.841825902336</v>
      </c>
      <c r="J324" s="11" t="n">
        <f aca="false">D324*I324</f>
        <v>2223173.5403397</v>
      </c>
      <c r="K324" s="7" t="n">
        <f aca="false">Parâmetros!$B$4+Parâmetros!$B$5*F324</f>
        <v>0.02</v>
      </c>
      <c r="L324" s="11" t="n">
        <f aca="false">D324*(1+G324)</f>
        <v>7545.10244406859</v>
      </c>
      <c r="M324" s="14" t="n">
        <v>0</v>
      </c>
      <c r="N324" s="4" t="n">
        <v>1</v>
      </c>
      <c r="O324" s="3" t="str">
        <f aca="false">IF(AND(B324=4,M324=1),IF(N324&lt;0.8,"Subgrupo 7 dias; fronteira de cluster","Subgrupo 7 dias"),IF(N324&lt;0.8,"Fronteira de cluster",""))</f>
        <v/>
      </c>
    </row>
    <row r="325" customFormat="false" ht="15" hidden="false" customHeight="false" outlineLevel="0" collapsed="false">
      <c r="A325" s="14" t="n">
        <v>324</v>
      </c>
      <c r="B325" s="14" t="n">
        <v>3</v>
      </c>
      <c r="C325" s="14" t="s">
        <v>32</v>
      </c>
      <c r="D325" s="15" t="n">
        <v>5687.9858974359</v>
      </c>
      <c r="E325" s="16" t="n">
        <f aca="false">INDEX(Parâmetros!$C$33:$C$37,MATCH(B325,Parâmetros!$A$33:$A$37,0))</f>
        <v>5909.24487179487</v>
      </c>
      <c r="F325" s="7" t="n">
        <f aca="false">MAX(0,(E325-D325)/D325)</f>
        <v>0.0388993535407175</v>
      </c>
      <c r="G325" s="7" t="n">
        <f aca="false">MIN(K325*Parâmetros!$B$19,Parâmetros!$B$8)</f>
        <v>0.0362700010590358</v>
      </c>
      <c r="H325" s="3" t="str">
        <f aca="false">IF(F325&gt;=Parâmetros!$B$6,"Ação","Acompanhamento")</f>
        <v>Acompanhamento</v>
      </c>
      <c r="I325" s="17" t="n">
        <v>302.229299363057</v>
      </c>
      <c r="J325" s="11" t="n">
        <f aca="false">D325*I325</f>
        <v>1719075.992569</v>
      </c>
      <c r="K325" s="7" t="n">
        <f aca="false">Parâmetros!$B$4+Parâmetros!$B$5*F325</f>
        <v>0.0297248383851794</v>
      </c>
      <c r="L325" s="11" t="n">
        <f aca="false">D325*(1+G325)</f>
        <v>5894.28915195968</v>
      </c>
      <c r="M325" s="14" t="n">
        <v>0</v>
      </c>
      <c r="N325" s="4" t="n">
        <v>1</v>
      </c>
      <c r="O325" s="3" t="str">
        <f aca="false">IF(AND(B325=4,M325=1),IF(N325&lt;0.8,"Subgrupo 7 dias; fronteira de cluster","Subgrupo 7 dias"),IF(N325&lt;0.8,"Fronteira de cluster",""))</f>
        <v/>
      </c>
    </row>
    <row r="326" customFormat="false" ht="15" hidden="false" customHeight="false" outlineLevel="0" collapsed="false">
      <c r="A326" s="14" t="n">
        <v>325</v>
      </c>
      <c r="B326" s="14" t="n">
        <v>0</v>
      </c>
      <c r="C326" s="14" t="s">
        <v>29</v>
      </c>
      <c r="D326" s="15" t="n">
        <v>6484.64569961489</v>
      </c>
      <c r="E326" s="16" t="n">
        <f aca="false">INDEX(Parâmetros!$C$33:$C$37,MATCH(B326,Parâmetros!$A$33:$A$37,0))</f>
        <v>5476.37033462034</v>
      </c>
      <c r="F326" s="7" t="n">
        <f aca="false">MAX(0,(E326-D326)/D326)</f>
        <v>0</v>
      </c>
      <c r="G326" s="7" t="n">
        <f aca="false">MIN(K326*Parâmetros!$B$19,Parâmetros!$B$8)</f>
        <v>0.0244038339849275</v>
      </c>
      <c r="H326" s="3" t="str">
        <f aca="false">IF(F326&gt;=Parâmetros!$B$6,"Ação","Acompanhamento")</f>
        <v>Acompanhamento</v>
      </c>
      <c r="I326" s="17" t="n">
        <v>301.841825902336</v>
      </c>
      <c r="J326" s="11" t="n">
        <f aca="false">D326*I326</f>
        <v>1957337.29830149</v>
      </c>
      <c r="K326" s="7" t="n">
        <f aca="false">Parâmetros!$B$4+Parâmetros!$B$5*F326</f>
        <v>0.02</v>
      </c>
      <c r="L326" s="11" t="n">
        <f aca="false">D326*(1+G326)</f>
        <v>6642.89591671937</v>
      </c>
      <c r="M326" s="14" t="n">
        <v>0</v>
      </c>
      <c r="N326" s="4" t="n">
        <v>1</v>
      </c>
      <c r="O326" s="3" t="str">
        <f aca="false">IF(AND(B326=4,M326=1),IF(N326&lt;0.8,"Subgrupo 7 dias; fronteira de cluster","Subgrupo 7 dias"),IF(N326&lt;0.8,"Fronteira de cluster",""))</f>
        <v/>
      </c>
    </row>
    <row r="327" customFormat="false" ht="15" hidden="false" customHeight="false" outlineLevel="0" collapsed="false">
      <c r="A327" s="14" t="n">
        <v>326</v>
      </c>
      <c r="B327" s="14" t="n">
        <v>1</v>
      </c>
      <c r="C327" s="14" t="s">
        <v>30</v>
      </c>
      <c r="D327" s="15" t="n">
        <v>5008.90372272144</v>
      </c>
      <c r="E327" s="16" t="n">
        <f aca="false">INDEX(Parâmetros!$C$33:$C$37,MATCH(B327,Parâmetros!$A$33:$A$37,0))</f>
        <v>6959.92435130262</v>
      </c>
      <c r="F327" s="7" t="n">
        <f aca="false">MAX(0,(E327-D327)/D327)</f>
        <v>0.389510507005943</v>
      </c>
      <c r="G327" s="7" t="n">
        <f aca="false">MIN(K327*Parâmetros!$B$19,Parâmetros!$B$8)</f>
        <v>0.143223205839402</v>
      </c>
      <c r="H327" s="3" t="str">
        <f aca="false">IF(F327&gt;=Parâmetros!$B$6,"Ação","Acompanhamento")</f>
        <v>Ação</v>
      </c>
      <c r="I327" s="17" t="n">
        <v>301.841825902336</v>
      </c>
      <c r="J327" s="11" t="n">
        <f aca="false">D327*I327</f>
        <v>1511896.64543524</v>
      </c>
      <c r="K327" s="7" t="n">
        <f aca="false">Parâmetros!$B$4+Parâmetros!$B$5*F327</f>
        <v>0.117377626751486</v>
      </c>
      <c r="L327" s="11" t="n">
        <f aca="false">D327*(1+G327)</f>
        <v>5726.29497163052</v>
      </c>
      <c r="M327" s="14" t="n">
        <v>0</v>
      </c>
      <c r="N327" s="4" t="n">
        <v>1</v>
      </c>
      <c r="O327" s="3" t="str">
        <f aca="false">IF(AND(B327=4,M327=1),IF(N327&lt;0.8,"Subgrupo 7 dias; fronteira de cluster","Subgrupo 7 dias"),IF(N327&lt;0.8,"Fronteira de cluster",""))</f>
        <v/>
      </c>
    </row>
    <row r="328" customFormat="false" ht="15" hidden="false" customHeight="false" outlineLevel="0" collapsed="false">
      <c r="A328" s="14" t="n">
        <v>327</v>
      </c>
      <c r="B328" s="14" t="n">
        <v>0</v>
      </c>
      <c r="C328" s="14" t="s">
        <v>29</v>
      </c>
      <c r="D328" s="15" t="n">
        <v>7738.18918918919</v>
      </c>
      <c r="E328" s="16" t="n">
        <f aca="false">INDEX(Parâmetros!$C$33:$C$37,MATCH(B328,Parâmetros!$A$33:$A$37,0))</f>
        <v>5476.37033462034</v>
      </c>
      <c r="F328" s="7" t="n">
        <f aca="false">MAX(0,(E328-D328)/D328)</f>
        <v>0</v>
      </c>
      <c r="G328" s="7" t="n">
        <f aca="false">MIN(K328*Parâmetros!$B$19,Parâmetros!$B$8)</f>
        <v>0.0244038339849275</v>
      </c>
      <c r="H328" s="3" t="str">
        <f aca="false">IF(F328&gt;=Parâmetros!$B$6,"Ação","Acompanhamento")</f>
        <v>Acompanhamento</v>
      </c>
      <c r="I328" s="17" t="n">
        <v>301.454352441614</v>
      </c>
      <c r="J328" s="11" t="n">
        <f aca="false">D328*I328</f>
        <v>2332710.81109772</v>
      </c>
      <c r="K328" s="7" t="n">
        <f aca="false">Parâmetros!$B$4+Parâmetros!$B$5*F328</f>
        <v>0.02</v>
      </c>
      <c r="L328" s="11" t="n">
        <f aca="false">D328*(1+G328)</f>
        <v>7927.03067350612</v>
      </c>
      <c r="M328" s="14" t="n">
        <v>0</v>
      </c>
      <c r="N328" s="4" t="n">
        <v>0.662650602409639</v>
      </c>
      <c r="O328" s="3" t="str">
        <f aca="false">IF(AND(B328=4,M328=1),IF(N328&lt;0.8,"Subgrupo 7 dias; fronteira de cluster","Subgrupo 7 dias"),IF(N328&lt;0.8,"Fronteira de cluster",""))</f>
        <v>Fronteira de cluster</v>
      </c>
    </row>
    <row r="329" customFormat="false" ht="15" hidden="false" customHeight="false" outlineLevel="0" collapsed="false">
      <c r="A329" s="14" t="n">
        <v>328</v>
      </c>
      <c r="B329" s="14" t="n">
        <v>0</v>
      </c>
      <c r="C329" s="14" t="s">
        <v>29</v>
      </c>
      <c r="D329" s="15" t="n">
        <v>4432.02952503209</v>
      </c>
      <c r="E329" s="16" t="n">
        <f aca="false">INDEX(Parâmetros!$C$33:$C$37,MATCH(B329,Parâmetros!$A$33:$A$37,0))</f>
        <v>5476.37033462034</v>
      </c>
      <c r="F329" s="7" t="n">
        <f aca="false">MAX(0,(E329-D329)/D329)</f>
        <v>0.235634894508217</v>
      </c>
      <c r="G329" s="7" t="n">
        <f aca="false">MIN(K329*Parâmetros!$B$19,Parâmetros!$B$8)</f>
        <v>0.0962837695678578</v>
      </c>
      <c r="H329" s="3" t="str">
        <f aca="false">IF(F329&gt;=Parâmetros!$B$6,"Ação","Acompanhamento")</f>
        <v>Ação</v>
      </c>
      <c r="I329" s="17" t="n">
        <v>301.841825902336</v>
      </c>
      <c r="J329" s="11" t="n">
        <f aca="false">D329*I329</f>
        <v>1337771.88428875</v>
      </c>
      <c r="K329" s="7" t="n">
        <f aca="false">Parâmetros!$B$4+Parâmetros!$B$5*F329</f>
        <v>0.0789087236270544</v>
      </c>
      <c r="L329" s="11" t="n">
        <f aca="false">D329*(1+G329)</f>
        <v>4858.76203453823</v>
      </c>
      <c r="M329" s="14" t="n">
        <v>0</v>
      </c>
      <c r="N329" s="4" t="n">
        <v>1</v>
      </c>
      <c r="O329" s="3" t="str">
        <f aca="false">IF(AND(B329=4,M329=1),IF(N329&lt;0.8,"Subgrupo 7 dias; fronteira de cluster","Subgrupo 7 dias"),IF(N329&lt;0.8,"Fronteira de cluster",""))</f>
        <v/>
      </c>
    </row>
    <row r="330" customFormat="false" ht="15" hidden="false" customHeight="false" outlineLevel="0" collapsed="false">
      <c r="A330" s="14" t="n">
        <v>329</v>
      </c>
      <c r="B330" s="14" t="n">
        <v>0</v>
      </c>
      <c r="C330" s="14" t="s">
        <v>29</v>
      </c>
      <c r="D330" s="15" t="n">
        <v>6912.7163029525</v>
      </c>
      <c r="E330" s="16" t="n">
        <f aca="false">INDEX(Parâmetros!$C$33:$C$37,MATCH(B330,Parâmetros!$A$33:$A$37,0))</f>
        <v>5476.37033462034</v>
      </c>
      <c r="F330" s="7" t="n">
        <f aca="false">MAX(0,(E330-D330)/D330)</f>
        <v>0</v>
      </c>
      <c r="G330" s="7" t="n">
        <f aca="false">MIN(K330*Parâmetros!$B$19,Parâmetros!$B$8)</f>
        <v>0.0244038339849275</v>
      </c>
      <c r="H330" s="3" t="str">
        <f aca="false">IF(F330&gt;=Parâmetros!$B$6,"Ação","Acompanhamento")</f>
        <v>Acompanhamento</v>
      </c>
      <c r="I330" s="17" t="n">
        <v>301.841825902336</v>
      </c>
      <c r="J330" s="11" t="n">
        <f aca="false">D330*I330</f>
        <v>2086546.91082803</v>
      </c>
      <c r="K330" s="7" t="n">
        <f aca="false">Parâmetros!$B$4+Parâmetros!$B$5*F330</f>
        <v>0.02</v>
      </c>
      <c r="L330" s="11" t="n">
        <f aca="false">D330*(1+G330)</f>
        <v>7081.41308399466</v>
      </c>
      <c r="M330" s="14" t="n">
        <v>0</v>
      </c>
      <c r="N330" s="4" t="n">
        <v>0.611764705882353</v>
      </c>
      <c r="O330" s="3" t="str">
        <f aca="false">IF(AND(B330=4,M330=1),IF(N330&lt;0.8,"Subgrupo 7 dias; fronteira de cluster","Subgrupo 7 dias"),IF(N330&lt;0.8,"Fronteira de cluster",""))</f>
        <v>Fronteira de cluster</v>
      </c>
    </row>
    <row r="331" customFormat="false" ht="15" hidden="false" customHeight="false" outlineLevel="0" collapsed="false">
      <c r="A331" s="14" t="n">
        <v>330</v>
      </c>
      <c r="B331" s="14" t="n">
        <v>0</v>
      </c>
      <c r="C331" s="14" t="s">
        <v>29</v>
      </c>
      <c r="D331" s="15" t="n">
        <v>4166.63799743261</v>
      </c>
      <c r="E331" s="16" t="n">
        <f aca="false">INDEX(Parâmetros!$C$33:$C$37,MATCH(B331,Parâmetros!$A$33:$A$37,0))</f>
        <v>5476.37033462034</v>
      </c>
      <c r="F331" s="7" t="n">
        <f aca="false">MAX(0,(E331-D331)/D331)</f>
        <v>0.314337923763657</v>
      </c>
      <c r="G331" s="7" t="n">
        <f aca="false">MIN(K331*Parâmetros!$B$19,Parâmetros!$B$8)</f>
        <v>0.120291965318616</v>
      </c>
      <c r="H331" s="3" t="str">
        <f aca="false">IF(F331&gt;=Parâmetros!$B$6,"Ação","Acompanhamento")</f>
        <v>Ação</v>
      </c>
      <c r="I331" s="17" t="n">
        <v>301.841825902336</v>
      </c>
      <c r="J331" s="11" t="n">
        <f aca="false">D331*I331</f>
        <v>1257665.62101911</v>
      </c>
      <c r="K331" s="7" t="n">
        <f aca="false">Parâmetros!$B$4+Parâmetros!$B$5*F331</f>
        <v>0.0985844809409143</v>
      </c>
      <c r="L331" s="11" t="n">
        <f aca="false">D331*(1+G331)</f>
        <v>4667.851070915</v>
      </c>
      <c r="M331" s="14" t="n">
        <v>0</v>
      </c>
      <c r="N331" s="4" t="n">
        <v>1</v>
      </c>
      <c r="O331" s="3" t="str">
        <f aca="false">IF(AND(B331=4,M331=1),IF(N331&lt;0.8,"Subgrupo 7 dias; fronteira de cluster","Subgrupo 7 dias"),IF(N331&lt;0.8,"Fronteira de cluster",""))</f>
        <v/>
      </c>
    </row>
    <row r="332" customFormat="false" ht="15" hidden="false" customHeight="false" outlineLevel="0" collapsed="false">
      <c r="A332" s="14" t="n">
        <v>331</v>
      </c>
      <c r="B332" s="14" t="n">
        <v>0</v>
      </c>
      <c r="C332" s="14" t="s">
        <v>29</v>
      </c>
      <c r="D332" s="15" t="n">
        <v>6160.85622593068</v>
      </c>
      <c r="E332" s="16" t="n">
        <f aca="false">INDEX(Parâmetros!$C$33:$C$37,MATCH(B332,Parâmetros!$A$33:$A$37,0))</f>
        <v>5476.37033462034</v>
      </c>
      <c r="F332" s="7" t="n">
        <f aca="false">MAX(0,(E332-D332)/D332)</f>
        <v>0</v>
      </c>
      <c r="G332" s="7" t="n">
        <f aca="false">MIN(K332*Parâmetros!$B$19,Parâmetros!$B$8)</f>
        <v>0.0244038339849275</v>
      </c>
      <c r="H332" s="3" t="str">
        <f aca="false">IF(F332&gt;=Parâmetros!$B$6,"Ação","Acompanhamento")</f>
        <v>Acompanhamento</v>
      </c>
      <c r="I332" s="17" t="n">
        <v>301.841825902336</v>
      </c>
      <c r="J332" s="11" t="n">
        <f aca="false">D332*I332</f>
        <v>1859604.09235669</v>
      </c>
      <c r="K332" s="7" t="n">
        <f aca="false">Parâmetros!$B$4+Parâmetros!$B$5*F332</f>
        <v>0.02</v>
      </c>
      <c r="L332" s="11" t="n">
        <f aca="false">D332*(1+G332)</f>
        <v>6311.2047384733</v>
      </c>
      <c r="M332" s="14" t="n">
        <v>0</v>
      </c>
      <c r="N332" s="4" t="n">
        <v>1</v>
      </c>
      <c r="O332" s="3" t="str">
        <f aca="false">IF(AND(B332=4,M332=1),IF(N332&lt;0.8,"Subgrupo 7 dias; fronteira de cluster","Subgrupo 7 dias"),IF(N332&lt;0.8,"Fronteira de cluster",""))</f>
        <v/>
      </c>
    </row>
    <row r="333" customFormat="false" ht="15" hidden="false" customHeight="false" outlineLevel="0" collapsed="false">
      <c r="A333" s="14" t="n">
        <v>332</v>
      </c>
      <c r="B333" s="14" t="n">
        <v>0</v>
      </c>
      <c r="C333" s="14" t="s">
        <v>29</v>
      </c>
      <c r="D333" s="15" t="n">
        <v>3728.56666666667</v>
      </c>
      <c r="E333" s="16" t="n">
        <f aca="false">INDEX(Parâmetros!$C$33:$C$37,MATCH(B333,Parâmetros!$A$33:$A$37,0))</f>
        <v>5476.37033462034</v>
      </c>
      <c r="F333" s="7" t="n">
        <f aca="false">MAX(0,(E333-D333)/D333)</f>
        <v>0.468760203104053</v>
      </c>
      <c r="G333" s="7" t="n">
        <f aca="false">MIN(K333*Parâmetros!$B$19,Parâmetros!$B$8)</f>
        <v>0.16739816117608</v>
      </c>
      <c r="H333" s="3" t="str">
        <f aca="false">IF(F333&gt;=Parâmetros!$B$6,"Ação","Acompanhamento")</f>
        <v>Ação</v>
      </c>
      <c r="I333" s="17" t="n">
        <v>302.229299363057</v>
      </c>
      <c r="J333" s="11" t="n">
        <f aca="false">D333*I333</f>
        <v>1126882.09129512</v>
      </c>
      <c r="K333" s="7" t="n">
        <f aca="false">Parâmetros!$B$4+Parâmetros!$B$5*F333</f>
        <v>0.137190050776013</v>
      </c>
      <c r="L333" s="11" t="n">
        <f aca="false">D333*(1+G333)</f>
        <v>4352.72187048909</v>
      </c>
      <c r="M333" s="14" t="n">
        <v>0</v>
      </c>
      <c r="N333" s="4" t="n">
        <v>0.62962962962963</v>
      </c>
      <c r="O333" s="3" t="str">
        <f aca="false">IF(AND(B333=4,M333=1),IF(N333&lt;0.8,"Subgrupo 7 dias; fronteira de cluster","Subgrupo 7 dias"),IF(N333&lt;0.8,"Fronteira de cluster",""))</f>
        <v>Fronteira de cluster</v>
      </c>
    </row>
    <row r="334" customFormat="false" ht="15" hidden="false" customHeight="false" outlineLevel="0" collapsed="false">
      <c r="A334" s="14" t="n">
        <v>333</v>
      </c>
      <c r="B334" s="14" t="n">
        <v>4</v>
      </c>
      <c r="C334" s="14" t="s">
        <v>33</v>
      </c>
      <c r="D334" s="15" t="n">
        <v>9773.19005102041</v>
      </c>
      <c r="E334" s="16" t="n">
        <f aca="false">INDEX(Parâmetros!$C$33:$C$37,MATCH(B334,Parâmetros!$A$33:$A$37,0))</f>
        <v>8837.10512820513</v>
      </c>
      <c r="F334" s="7" t="n">
        <f aca="false">MAX(0,(E334-D334)/D334)</f>
        <v>0</v>
      </c>
      <c r="G334" s="7" t="n">
        <f aca="false">MIN(K334*Parâmetros!$B$19,Parâmetros!$B$8)</f>
        <v>0.0244038339849275</v>
      </c>
      <c r="H334" s="3" t="str">
        <f aca="false">IF(F334&gt;=Parâmetros!$B$6,"Ação","Acompanhamento")</f>
        <v>Acompanhamento</v>
      </c>
      <c r="I334" s="17" t="n">
        <v>303.779193205945</v>
      </c>
      <c r="J334" s="11" t="n">
        <f aca="false">D334*I334</f>
        <v>2968891.78874735</v>
      </c>
      <c r="K334" s="7" t="n">
        <f aca="false">Parâmetros!$B$4+Parâmetros!$B$5*F334</f>
        <v>0.02</v>
      </c>
      <c r="L334" s="11" t="n">
        <f aca="false">D334*(1+G334)</f>
        <v>10011.6933585287</v>
      </c>
      <c r="M334" s="14" t="n">
        <v>0</v>
      </c>
      <c r="N334" s="4" t="n">
        <v>1</v>
      </c>
      <c r="O334" s="3" t="str">
        <f aca="false">IF(AND(B334=4,M334=1),IF(N334&lt;0.8,"Subgrupo 7 dias; fronteira de cluster","Subgrupo 7 dias"),IF(N334&lt;0.8,"Fronteira de cluster",""))</f>
        <v/>
      </c>
    </row>
    <row r="335" customFormat="false" ht="15" hidden="false" customHeight="false" outlineLevel="0" collapsed="false">
      <c r="A335" s="14" t="n">
        <v>334</v>
      </c>
      <c r="B335" s="14" t="n">
        <v>1</v>
      </c>
      <c r="C335" s="14" t="s">
        <v>30</v>
      </c>
      <c r="D335" s="15" t="n">
        <v>5428.38510911425</v>
      </c>
      <c r="E335" s="16" t="n">
        <f aca="false">INDEX(Parâmetros!$C$33:$C$37,MATCH(B335,Parâmetros!$A$33:$A$37,0))</f>
        <v>6959.92435130262</v>
      </c>
      <c r="F335" s="7" t="n">
        <f aca="false">MAX(0,(E335-D335)/D335)</f>
        <v>0.282135333327203</v>
      </c>
      <c r="G335" s="7" t="n">
        <f aca="false">MIN(K335*Parâmetros!$B$19,Parâmetros!$B$8)</f>
        <v>0.110468631932418</v>
      </c>
      <c r="H335" s="3" t="str">
        <f aca="false">IF(F335&gt;=Parâmetros!$B$6,"Ação","Acompanhamento")</f>
        <v>Ação</v>
      </c>
      <c r="I335" s="17" t="n">
        <v>301.841825902336</v>
      </c>
      <c r="J335" s="11" t="n">
        <f aca="false">D335*I335</f>
        <v>1638513.67303609</v>
      </c>
      <c r="K335" s="7" t="n">
        <f aca="false">Parâmetros!$B$4+Parâmetros!$B$5*F335</f>
        <v>0.0905338333318007</v>
      </c>
      <c r="L335" s="11" t="n">
        <f aca="false">D335*(1+G335)</f>
        <v>6028.05138572041</v>
      </c>
      <c r="M335" s="14" t="n">
        <v>0</v>
      </c>
      <c r="N335" s="4" t="n">
        <v>1</v>
      </c>
      <c r="O335" s="3" t="str">
        <f aca="false">IF(AND(B335=4,M335=1),IF(N335&lt;0.8,"Subgrupo 7 dias; fronteira de cluster","Subgrupo 7 dias"),IF(N335&lt;0.8,"Fronteira de cluster",""))</f>
        <v/>
      </c>
    </row>
    <row r="336" customFormat="false" ht="15" hidden="false" customHeight="false" outlineLevel="0" collapsed="false">
      <c r="A336" s="14" t="n">
        <v>335</v>
      </c>
      <c r="B336" s="14" t="n">
        <v>0</v>
      </c>
      <c r="C336" s="14" t="s">
        <v>29</v>
      </c>
      <c r="D336" s="15" t="n">
        <v>13313.9394904459</v>
      </c>
      <c r="E336" s="16" t="n">
        <f aca="false">INDEX(Parâmetros!$C$33:$C$37,MATCH(B336,Parâmetros!$A$33:$A$37,0))</f>
        <v>5476.37033462034</v>
      </c>
      <c r="F336" s="7" t="n">
        <f aca="false">MAX(0,(E336-D336)/D336)</f>
        <v>0</v>
      </c>
      <c r="G336" s="7" t="n">
        <f aca="false">MIN(K336*Parâmetros!$B$19,Parâmetros!$B$8)</f>
        <v>0.0244038339849275</v>
      </c>
      <c r="H336" s="3" t="str">
        <f aca="false">IF(F336&gt;=Parâmetros!$B$6,"Ação","Acompanhamento")</f>
        <v>Acompanhamento</v>
      </c>
      <c r="I336" s="17" t="n">
        <v>365</v>
      </c>
      <c r="J336" s="11" t="n">
        <f aca="false">D336*I336</f>
        <v>4859587.91401274</v>
      </c>
      <c r="K336" s="7" t="n">
        <f aca="false">Parâmetros!$B$4+Parâmetros!$B$5*F336</f>
        <v>0.02</v>
      </c>
      <c r="L336" s="11" t="n">
        <f aca="false">D336*(1+G336)</f>
        <v>13638.8506594561</v>
      </c>
      <c r="M336" s="14" t="n">
        <v>1</v>
      </c>
      <c r="N336" s="4" t="n">
        <v>0.891566265060241</v>
      </c>
      <c r="O336" s="3" t="str">
        <f aca="false">IF(AND(B336=4,M336=1),IF(N336&lt;0.8,"Subgrupo 7 dias; fronteira de cluster","Subgrupo 7 dias"),IF(N336&lt;0.8,"Fronteira de cluster",""))</f>
        <v/>
      </c>
    </row>
    <row r="337" customFormat="false" ht="15" hidden="false" customHeight="false" outlineLevel="0" collapsed="false">
      <c r="A337" s="14" t="n">
        <v>336</v>
      </c>
      <c r="B337" s="14" t="n">
        <v>4</v>
      </c>
      <c r="C337" s="14" t="s">
        <v>33</v>
      </c>
      <c r="D337" s="15" t="n">
        <v>13910.6615384615</v>
      </c>
      <c r="E337" s="16" t="n">
        <f aca="false">INDEX(Parâmetros!$C$33:$C$37,MATCH(B337,Parâmetros!$A$33:$A$37,0))</f>
        <v>8837.10512820513</v>
      </c>
      <c r="F337" s="7" t="n">
        <f aca="false">MAX(0,(E337-D337)/D337)</f>
        <v>0</v>
      </c>
      <c r="G337" s="7" t="n">
        <f aca="false">MIN(K337*Parâmetros!$B$19,Parâmetros!$B$8)</f>
        <v>0.0244038339849275</v>
      </c>
      <c r="H337" s="3" t="str">
        <f aca="false">IF(F337&gt;=Parâmetros!$B$6,"Ação","Acompanhamento")</f>
        <v>Acompanhamento</v>
      </c>
      <c r="I337" s="17" t="n">
        <v>302.229299363057</v>
      </c>
      <c r="J337" s="11" t="n">
        <f aca="false">D337*I337</f>
        <v>4204209.49044586</v>
      </c>
      <c r="K337" s="7" t="n">
        <f aca="false">Parâmetros!$B$4+Parâmetros!$B$5*F337</f>
        <v>0.02</v>
      </c>
      <c r="L337" s="11" t="n">
        <f aca="false">D337*(1+G337)</f>
        <v>14250.1350132667</v>
      </c>
      <c r="M337" s="14" t="n">
        <v>0</v>
      </c>
      <c r="N337" s="4" t="n">
        <v>0.988095238095238</v>
      </c>
      <c r="O337" s="3" t="str">
        <f aca="false">IF(AND(B337=4,M337=1),IF(N337&lt;0.8,"Subgrupo 7 dias; fronteira de cluster","Subgrupo 7 dias"),IF(N337&lt;0.8,"Fronteira de cluster",""))</f>
        <v/>
      </c>
    </row>
    <row r="338" customFormat="false" ht="15" hidden="false" customHeight="false" outlineLevel="0" collapsed="false">
      <c r="A338" s="14" t="n">
        <v>337</v>
      </c>
      <c r="B338" s="14" t="n">
        <v>1</v>
      </c>
      <c r="C338" s="14" t="s">
        <v>30</v>
      </c>
      <c r="D338" s="15" t="n">
        <v>5049.65300896287</v>
      </c>
      <c r="E338" s="16" t="n">
        <f aca="false">INDEX(Parâmetros!$C$33:$C$37,MATCH(B338,Parâmetros!$A$33:$A$37,0))</f>
        <v>6959.92435130262</v>
      </c>
      <c r="F338" s="7" t="n">
        <f aca="false">MAX(0,(E338-D338)/D338)</f>
        <v>0.378297546177752</v>
      </c>
      <c r="G338" s="7" t="n">
        <f aca="false">MIN(K338*Parâmetros!$B$19,Parâmetros!$B$8)</f>
        <v>0.139802715407768</v>
      </c>
      <c r="H338" s="3" t="str">
        <f aca="false">IF(F338&gt;=Parâmetros!$B$6,"Ação","Acompanhamento")</f>
        <v>Ação</v>
      </c>
      <c r="I338" s="17" t="n">
        <v>302.616772823779</v>
      </c>
      <c r="J338" s="11" t="n">
        <f aca="false">D338*I338</f>
        <v>1528109.69745223</v>
      </c>
      <c r="K338" s="7" t="n">
        <f aca="false">Parâmetros!$B$4+Parâmetros!$B$5*F338</f>
        <v>0.114574386544438</v>
      </c>
      <c r="L338" s="11" t="n">
        <f aca="false">D338*(1+G338)</f>
        <v>5755.60821148288</v>
      </c>
      <c r="M338" s="14" t="n">
        <v>0</v>
      </c>
      <c r="N338" s="4" t="n">
        <v>1</v>
      </c>
      <c r="O338" s="3" t="str">
        <f aca="false">IF(AND(B338=4,M338=1),IF(N338&lt;0.8,"Subgrupo 7 dias; fronteira de cluster","Subgrupo 7 dias"),IF(N338&lt;0.8,"Fronteira de cluster",""))</f>
        <v/>
      </c>
    </row>
    <row r="339" customFormat="false" ht="15" hidden="false" customHeight="false" outlineLevel="0" collapsed="false">
      <c r="A339" s="14" t="n">
        <v>338</v>
      </c>
      <c r="B339" s="14" t="n">
        <v>1</v>
      </c>
      <c r="C339" s="14" t="s">
        <v>30</v>
      </c>
      <c r="D339" s="15" t="n">
        <v>7217.95390524968</v>
      </c>
      <c r="E339" s="16" t="n">
        <f aca="false">INDEX(Parâmetros!$C$33:$C$37,MATCH(B339,Parâmetros!$A$33:$A$37,0))</f>
        <v>6959.92435130262</v>
      </c>
      <c r="F339" s="7" t="n">
        <f aca="false">MAX(0,(E339-D339)/D339)</f>
        <v>0</v>
      </c>
      <c r="G339" s="7" t="n">
        <f aca="false">MIN(K339*Parâmetros!$B$19,Parâmetros!$B$8)</f>
        <v>0.0244038339849275</v>
      </c>
      <c r="H339" s="3" t="str">
        <f aca="false">IF(F339&gt;=Parâmetros!$B$6,"Ação","Acompanhamento")</f>
        <v>Acompanhamento</v>
      </c>
      <c r="I339" s="17" t="n">
        <v>302.616772823779</v>
      </c>
      <c r="J339" s="11" t="n">
        <f aca="false">D339*I339</f>
        <v>2184273.91719745</v>
      </c>
      <c r="K339" s="7" t="n">
        <f aca="false">Parâmetros!$B$4+Parâmetros!$B$5*F339</f>
        <v>0.02</v>
      </c>
      <c r="L339" s="11" t="n">
        <f aca="false">D339*(1+G339)</f>
        <v>7394.09965406425</v>
      </c>
      <c r="M339" s="14" t="n">
        <v>0</v>
      </c>
      <c r="N339" s="4" t="n">
        <v>1</v>
      </c>
      <c r="O339" s="3" t="str">
        <f aca="false">IF(AND(B339=4,M339=1),IF(N339&lt;0.8,"Subgrupo 7 dias; fronteira de cluster","Subgrupo 7 dias"),IF(N339&lt;0.8,"Fronteira de cluster",""))</f>
        <v/>
      </c>
    </row>
    <row r="340" customFormat="false" ht="15" hidden="false" customHeight="false" outlineLevel="0" collapsed="false">
      <c r="A340" s="14" t="n">
        <v>339</v>
      </c>
      <c r="B340" s="14" t="n">
        <v>2</v>
      </c>
      <c r="C340" s="14" t="s">
        <v>31</v>
      </c>
      <c r="D340" s="15" t="n">
        <v>5147.25596816976</v>
      </c>
      <c r="E340" s="16" t="n">
        <f aca="false">INDEX(Parâmetros!$C$33:$C$37,MATCH(B340,Parâmetros!$A$33:$A$37,0))</f>
        <v>6324.80102695764</v>
      </c>
      <c r="F340" s="7" t="n">
        <f aca="false">MAX(0,(E340-D340)/D340)</f>
        <v>0.228771420358678</v>
      </c>
      <c r="G340" s="7" t="n">
        <f aca="false">MIN(K340*Parâmetros!$B$19,Parâmetros!$B$8)</f>
        <v>0.0941900810215427</v>
      </c>
      <c r="H340" s="3" t="str">
        <f aca="false">IF(F340&gt;=Parâmetros!$B$6,"Ação","Acompanhamento")</f>
        <v>Ação</v>
      </c>
      <c r="I340" s="17" t="n">
        <v>292.929936305733</v>
      </c>
      <c r="J340" s="11" t="n">
        <f aca="false">D340*I340</f>
        <v>1507785.36290527</v>
      </c>
      <c r="K340" s="7" t="n">
        <f aca="false">Parâmetros!$B$4+Parâmetros!$B$5*F340</f>
        <v>0.0771928550896694</v>
      </c>
      <c r="L340" s="11" t="n">
        <f aca="false">D340*(1+G340)</f>
        <v>5632.07642485029</v>
      </c>
      <c r="M340" s="14" t="n">
        <v>0</v>
      </c>
      <c r="N340" s="4" t="n">
        <v>0.653333333333333</v>
      </c>
      <c r="O340" s="3" t="str">
        <f aca="false">IF(AND(B340=4,M340=1),IF(N340&lt;0.8,"Subgrupo 7 dias; fronteira de cluster","Subgrupo 7 dias"),IF(N340&lt;0.8,"Fronteira de cluster",""))</f>
        <v>Fronteira de cluster</v>
      </c>
    </row>
    <row r="341" customFormat="false" ht="15" hidden="false" customHeight="false" outlineLevel="0" collapsed="false">
      <c r="A341" s="14" t="n">
        <v>340</v>
      </c>
      <c r="B341" s="14" t="n">
        <v>1</v>
      </c>
      <c r="C341" s="14" t="s">
        <v>30</v>
      </c>
      <c r="D341" s="15" t="n">
        <v>6485.64285714286</v>
      </c>
      <c r="E341" s="16" t="n">
        <f aca="false">INDEX(Parâmetros!$C$33:$C$37,MATCH(B341,Parâmetros!$A$33:$A$37,0))</f>
        <v>6959.92435130262</v>
      </c>
      <c r="F341" s="7" t="n">
        <f aca="false">MAX(0,(E341-D341)/D341)</f>
        <v>0.0731279079971883</v>
      </c>
      <c r="G341" s="7" t="n">
        <f aca="false">MIN(K341*Parâmetros!$B$19,Parâmetros!$B$8)</f>
        <v>0.0467113505652829</v>
      </c>
      <c r="H341" s="3" t="str">
        <f aca="false">IF(F341&gt;=Parâmetros!$B$6,"Ação","Acompanhamento")</f>
        <v>Acompanhamento</v>
      </c>
      <c r="I341" s="17" t="n">
        <v>303.779193205945</v>
      </c>
      <c r="J341" s="11" t="n">
        <f aca="false">D341*I341</f>
        <v>1970203.35456476</v>
      </c>
      <c r="K341" s="7" t="n">
        <f aca="false">Parâmetros!$B$4+Parâmetros!$B$5*F341</f>
        <v>0.0382819769992971</v>
      </c>
      <c r="L341" s="11" t="n">
        <f aca="false">D341*(1+G341)</f>
        <v>6788.59599428408</v>
      </c>
      <c r="M341" s="14" t="n">
        <v>0</v>
      </c>
      <c r="N341" s="4" t="n">
        <v>1</v>
      </c>
      <c r="O341" s="3" t="str">
        <f aca="false">IF(AND(B341=4,M341=1),IF(N341&lt;0.8,"Subgrupo 7 dias; fronteira de cluster","Subgrupo 7 dias"),IF(N341&lt;0.8,"Fronteira de cluster",""))</f>
        <v/>
      </c>
    </row>
    <row r="342" customFormat="false" ht="15" hidden="false" customHeight="false" outlineLevel="0" collapsed="false">
      <c r="A342" s="14" t="n">
        <v>341</v>
      </c>
      <c r="B342" s="14" t="n">
        <v>0</v>
      </c>
      <c r="C342" s="14" t="s">
        <v>29</v>
      </c>
      <c r="D342" s="15" t="n">
        <v>5511.53401797176</v>
      </c>
      <c r="E342" s="16" t="n">
        <f aca="false">INDEX(Parâmetros!$C$33:$C$37,MATCH(B342,Parâmetros!$A$33:$A$37,0))</f>
        <v>5476.37033462034</v>
      </c>
      <c r="F342" s="7" t="n">
        <f aca="false">MAX(0,(E342-D342)/D342)</f>
        <v>0</v>
      </c>
      <c r="G342" s="7" t="n">
        <f aca="false">MIN(K342*Parâmetros!$B$19,Parâmetros!$B$8)</f>
        <v>0.0244038339849275</v>
      </c>
      <c r="H342" s="3" t="str">
        <f aca="false">IF(F342&gt;=Parâmetros!$B$6,"Ação","Acompanhamento")</f>
        <v>Acompanhamento</v>
      </c>
      <c r="I342" s="17" t="n">
        <v>301.841825902336</v>
      </c>
      <c r="J342" s="11" t="n">
        <f aca="false">D342*I342</f>
        <v>1663611.49150743</v>
      </c>
      <c r="K342" s="7" t="n">
        <f aca="false">Parâmetros!$B$4+Parâmetros!$B$5*F342</f>
        <v>0.02</v>
      </c>
      <c r="L342" s="11" t="n">
        <f aca="false">D342*(1+G342)</f>
        <v>5646.03657914862</v>
      </c>
      <c r="M342" s="14" t="n">
        <v>0</v>
      </c>
      <c r="N342" s="4" t="n">
        <v>0.932432432432432</v>
      </c>
      <c r="O342" s="3" t="str">
        <f aca="false">IF(AND(B342=4,M342=1),IF(N342&lt;0.8,"Subgrupo 7 dias; fronteira de cluster","Subgrupo 7 dias"),IF(N342&lt;0.8,"Fronteira de cluster",""))</f>
        <v/>
      </c>
    </row>
    <row r="343" customFormat="false" ht="15" hidden="false" customHeight="false" outlineLevel="0" collapsed="false">
      <c r="A343" s="14" t="n">
        <v>342</v>
      </c>
      <c r="B343" s="14" t="n">
        <v>1</v>
      </c>
      <c r="C343" s="14" t="s">
        <v>30</v>
      </c>
      <c r="D343" s="15" t="n">
        <v>11104.1384863124</v>
      </c>
      <c r="E343" s="16" t="n">
        <f aca="false">INDEX(Parâmetros!$C$33:$C$37,MATCH(B343,Parâmetros!$A$33:$A$37,0))</f>
        <v>6959.92435130262</v>
      </c>
      <c r="F343" s="7" t="n">
        <f aca="false">MAX(0,(E343-D343)/D343)</f>
        <v>0</v>
      </c>
      <c r="G343" s="7" t="n">
        <f aca="false">MIN(K343*Parâmetros!$B$19,Parâmetros!$B$8)</f>
        <v>0.0244038339849275</v>
      </c>
      <c r="H343" s="3" t="str">
        <f aca="false">IF(F343&gt;=Parâmetros!$B$6,"Ação","Acompanhamento")</f>
        <v>Acompanhamento</v>
      </c>
      <c r="I343" s="17" t="n">
        <v>299.030343007916</v>
      </c>
      <c r="J343" s="11" t="n">
        <f aca="false">D343*I343</f>
        <v>3320474.34036939</v>
      </c>
      <c r="K343" s="7" t="n">
        <f aca="false">Parâmetros!$B$4+Parâmetros!$B$5*F343</f>
        <v>0.02</v>
      </c>
      <c r="L343" s="11" t="n">
        <f aca="false">D343*(1+G343)</f>
        <v>11375.122038478</v>
      </c>
      <c r="M343" s="14" t="n">
        <v>0</v>
      </c>
      <c r="N343" s="4" t="n">
        <v>1</v>
      </c>
      <c r="O343" s="3" t="str">
        <f aca="false">IF(AND(B343=4,M343=1),IF(N343&lt;0.8,"Subgrupo 7 dias; fronteira de cluster","Subgrupo 7 dias"),IF(N343&lt;0.8,"Fronteira de cluster",""))</f>
        <v/>
      </c>
    </row>
    <row r="344" customFormat="false" ht="15" hidden="false" customHeight="false" outlineLevel="0" collapsed="false">
      <c r="A344" s="14" t="n">
        <v>343</v>
      </c>
      <c r="B344" s="14" t="n">
        <v>1</v>
      </c>
      <c r="C344" s="14" t="s">
        <v>30</v>
      </c>
      <c r="D344" s="15" t="n">
        <v>7199.36585365854</v>
      </c>
      <c r="E344" s="16" t="n">
        <f aca="false">INDEX(Parâmetros!$C$33:$C$37,MATCH(B344,Parâmetros!$A$33:$A$37,0))</f>
        <v>6959.92435130262</v>
      </c>
      <c r="F344" s="7" t="n">
        <f aca="false">MAX(0,(E344-D344)/D344)</f>
        <v>0</v>
      </c>
      <c r="G344" s="7" t="n">
        <f aca="false">MIN(K344*Parâmetros!$B$19,Parâmetros!$B$8)</f>
        <v>0.0244038339849275</v>
      </c>
      <c r="H344" s="3" t="str">
        <f aca="false">IF(F344&gt;=Parâmetros!$B$6,"Ação","Acompanhamento")</f>
        <v>Acompanhamento</v>
      </c>
      <c r="I344" s="17" t="n">
        <v>301.841825902336</v>
      </c>
      <c r="J344" s="11" t="n">
        <f aca="false">D344*I344</f>
        <v>2173069.73460722</v>
      </c>
      <c r="K344" s="7" t="n">
        <f aca="false">Parâmetros!$B$4+Parâmetros!$B$5*F344</f>
        <v>0.02</v>
      </c>
      <c r="L344" s="11" t="n">
        <f aca="false">D344*(1+G344)</f>
        <v>7375.05798274798</v>
      </c>
      <c r="M344" s="14" t="n">
        <v>0</v>
      </c>
      <c r="N344" s="4" t="n">
        <v>1</v>
      </c>
      <c r="O344" s="3" t="str">
        <f aca="false">IF(AND(B344=4,M344=1),IF(N344&lt;0.8,"Subgrupo 7 dias; fronteira de cluster","Subgrupo 7 dias"),IF(N344&lt;0.8,"Fronteira de cluster",""))</f>
        <v/>
      </c>
    </row>
    <row r="345" customFormat="false" ht="15" hidden="false" customHeight="false" outlineLevel="0" collapsed="false">
      <c r="A345" s="14" t="n">
        <v>344</v>
      </c>
      <c r="B345" s="14" t="n">
        <v>0</v>
      </c>
      <c r="C345" s="14" t="s">
        <v>29</v>
      </c>
      <c r="D345" s="15" t="n">
        <v>8481.10841836735</v>
      </c>
      <c r="E345" s="16" t="n">
        <f aca="false">INDEX(Parâmetros!$C$33:$C$37,MATCH(B345,Parâmetros!$A$33:$A$37,0))</f>
        <v>5476.37033462034</v>
      </c>
      <c r="F345" s="7" t="n">
        <f aca="false">MAX(0,(E345-D345)/D345)</f>
        <v>0</v>
      </c>
      <c r="G345" s="7" t="n">
        <f aca="false">MIN(K345*Parâmetros!$B$19,Parâmetros!$B$8)</f>
        <v>0.0244038339849275</v>
      </c>
      <c r="H345" s="3" t="str">
        <f aca="false">IF(F345&gt;=Parâmetros!$B$6,"Ação","Acompanhamento")</f>
        <v>Acompanhamento</v>
      </c>
      <c r="I345" s="17" t="n">
        <v>303.779193205945</v>
      </c>
      <c r="J345" s="11" t="n">
        <f aca="false">D345*I345</f>
        <v>2576384.27282378</v>
      </c>
      <c r="K345" s="7" t="n">
        <f aca="false">Parâmetros!$B$4+Parâmetros!$B$5*F345</f>
        <v>0.02</v>
      </c>
      <c r="L345" s="11" t="n">
        <f aca="false">D345*(1+G345)</f>
        <v>8688.07998021736</v>
      </c>
      <c r="M345" s="14" t="n">
        <v>0</v>
      </c>
      <c r="N345" s="4" t="n">
        <v>0.964285714285714</v>
      </c>
      <c r="O345" s="3" t="str">
        <f aca="false">IF(AND(B345=4,M345=1),IF(N345&lt;0.8,"Subgrupo 7 dias; fronteira de cluster","Subgrupo 7 dias"),IF(N345&lt;0.8,"Fronteira de cluster",""))</f>
        <v/>
      </c>
    </row>
    <row r="346" customFormat="false" ht="15" hidden="false" customHeight="false" outlineLevel="0" collapsed="false">
      <c r="A346" s="14" t="n">
        <v>345</v>
      </c>
      <c r="B346" s="14" t="n">
        <v>0</v>
      </c>
      <c r="C346" s="14" t="s">
        <v>29</v>
      </c>
      <c r="D346" s="15" t="n">
        <v>4559.58520900322</v>
      </c>
      <c r="E346" s="16" t="n">
        <f aca="false">INDEX(Parâmetros!$C$33:$C$37,MATCH(B346,Parâmetros!$A$33:$A$37,0))</f>
        <v>5476.37033462034</v>
      </c>
      <c r="F346" s="7" t="n">
        <f aca="false">MAX(0,(E346-D346)/D346)</f>
        <v>0.201067659357887</v>
      </c>
      <c r="G346" s="7" t="n">
        <f aca="false">MIN(K346*Parâmetros!$B$19,Parâmetros!$B$8)</f>
        <v>0.0857391062187752</v>
      </c>
      <c r="H346" s="3" t="str">
        <f aca="false">IF(F346&gt;=Parâmetros!$B$6,"Ação","Acompanhamento")</f>
        <v>Ação</v>
      </c>
      <c r="I346" s="17" t="n">
        <v>299.511873350924</v>
      </c>
      <c r="J346" s="11" t="n">
        <f aca="false">D346*I346</f>
        <v>1365649.90765172</v>
      </c>
      <c r="K346" s="7" t="n">
        <f aca="false">Parâmetros!$B$4+Parâmetros!$B$5*F346</f>
        <v>0.0702669148394718</v>
      </c>
      <c r="L346" s="11" t="n">
        <f aca="false">D346*(1+G346)</f>
        <v>4950.5199695515</v>
      </c>
      <c r="M346" s="14" t="n">
        <v>0</v>
      </c>
      <c r="N346" s="4" t="n">
        <v>1</v>
      </c>
      <c r="O346" s="3" t="str">
        <f aca="false">IF(AND(B346=4,M346=1),IF(N346&lt;0.8,"Subgrupo 7 dias; fronteira de cluster","Subgrupo 7 dias"),IF(N346&lt;0.8,"Fronteira de cluster",""))</f>
        <v/>
      </c>
    </row>
    <row r="347" customFormat="false" ht="15" hidden="false" customHeight="false" outlineLevel="0" collapsed="false">
      <c r="A347" s="14" t="n">
        <v>346</v>
      </c>
      <c r="B347" s="14" t="n">
        <v>1</v>
      </c>
      <c r="C347" s="14" t="s">
        <v>30</v>
      </c>
      <c r="D347" s="15" t="n">
        <v>6830.50064184852</v>
      </c>
      <c r="E347" s="16" t="n">
        <f aca="false">INDEX(Parâmetros!$C$33:$C$37,MATCH(B347,Parâmetros!$A$33:$A$37,0))</f>
        <v>6959.92435130262</v>
      </c>
      <c r="F347" s="7" t="n">
        <f aca="false">MAX(0,(E347-D347)/D347)</f>
        <v>0.0189479097126725</v>
      </c>
      <c r="G347" s="7" t="n">
        <f aca="false">MIN(K347*Parâmetros!$B$19,Parâmetros!$B$8)</f>
        <v>0.0301838545222956</v>
      </c>
      <c r="H347" s="3" t="str">
        <f aca="false">IF(F347&gt;=Parâmetros!$B$6,"Ação","Acompanhamento")</f>
        <v>Acompanhamento</v>
      </c>
      <c r="I347" s="17" t="n">
        <v>301.841825902336</v>
      </c>
      <c r="J347" s="11" t="n">
        <f aca="false">D347*I347</f>
        <v>2061730.78556263</v>
      </c>
      <c r="K347" s="7" t="n">
        <f aca="false">Parâmetros!$B$4+Parâmetros!$B$5*F347</f>
        <v>0.0247369774281681</v>
      </c>
      <c r="L347" s="11" t="n">
        <f aca="false">D347*(1+G347)</f>
        <v>7036.67147953653</v>
      </c>
      <c r="M347" s="14" t="n">
        <v>0</v>
      </c>
      <c r="N347" s="4" t="n">
        <v>1</v>
      </c>
      <c r="O347" s="3" t="str">
        <f aca="false">IF(AND(B347=4,M347=1),IF(N347&lt;0.8,"Subgrupo 7 dias; fronteira de cluster","Subgrupo 7 dias"),IF(N347&lt;0.8,"Fronteira de cluster",""))</f>
        <v/>
      </c>
    </row>
    <row r="348" customFormat="false" ht="15" hidden="false" customHeight="false" outlineLevel="0" collapsed="false">
      <c r="A348" s="14" t="n">
        <v>347</v>
      </c>
      <c r="B348" s="14" t="n">
        <v>1</v>
      </c>
      <c r="C348" s="14" t="s">
        <v>30</v>
      </c>
      <c r="D348" s="15" t="n">
        <v>4804.19047619048</v>
      </c>
      <c r="E348" s="16" t="n">
        <f aca="false">INDEX(Parâmetros!$C$33:$C$37,MATCH(B348,Parâmetros!$A$33:$A$37,0))</f>
        <v>6959.92435130262</v>
      </c>
      <c r="F348" s="7" t="n">
        <f aca="false">MAX(0,(E348-D348)/D348)</f>
        <v>0.44871948474898</v>
      </c>
      <c r="G348" s="7" t="n">
        <f aca="false">MIN(K348*Parâmetros!$B$19,Parâmetros!$B$8)</f>
        <v>0.161284781630131</v>
      </c>
      <c r="H348" s="3" t="str">
        <f aca="false">IF(F348&gt;=Parâmetros!$B$6,"Ação","Acompanhamento")</f>
        <v>Ação</v>
      </c>
      <c r="I348" s="17" t="n">
        <v>301.066878980892</v>
      </c>
      <c r="J348" s="11" t="n">
        <f aca="false">D348*I348</f>
        <v>1446382.63269639</v>
      </c>
      <c r="K348" s="7" t="n">
        <f aca="false">Parâmetros!$B$4+Parâmetros!$B$5*F348</f>
        <v>0.132179871187245</v>
      </c>
      <c r="L348" s="11" t="n">
        <f aca="false">D348*(1+G348)</f>
        <v>5579.03328805241</v>
      </c>
      <c r="M348" s="14" t="n">
        <v>0</v>
      </c>
      <c r="N348" s="4" t="n">
        <v>1</v>
      </c>
      <c r="O348" s="3" t="str">
        <f aca="false">IF(AND(B348=4,M348=1),IF(N348&lt;0.8,"Subgrupo 7 dias; fronteira de cluster","Subgrupo 7 dias"),IF(N348&lt;0.8,"Fronteira de cluster",""))</f>
        <v/>
      </c>
    </row>
    <row r="349" customFormat="false" ht="15" hidden="false" customHeight="false" outlineLevel="0" collapsed="false">
      <c r="A349" s="14" t="n">
        <v>348</v>
      </c>
      <c r="B349" s="14" t="n">
        <v>2</v>
      </c>
      <c r="C349" s="14" t="s">
        <v>31</v>
      </c>
      <c r="D349" s="15" t="n">
        <v>8802.97487437186</v>
      </c>
      <c r="E349" s="16" t="n">
        <f aca="false">INDEX(Parâmetros!$C$33:$C$37,MATCH(B349,Parâmetros!$A$33:$A$37,0))</f>
        <v>6324.80102695764</v>
      </c>
      <c r="F349" s="7" t="n">
        <f aca="false">MAX(0,(E349-D349)/D349)</f>
        <v>0</v>
      </c>
      <c r="G349" s="7" t="n">
        <f aca="false">MIN(K349*Parâmetros!$B$19,Parâmetros!$B$8)</f>
        <v>0.0244038339849275</v>
      </c>
      <c r="H349" s="3" t="str">
        <f aca="false">IF(F349&gt;=Parâmetros!$B$6,"Ação","Acompanhamento")</f>
        <v>Acompanhamento</v>
      </c>
      <c r="I349" s="17" t="n">
        <v>287.473614775726</v>
      </c>
      <c r="J349" s="11" t="n">
        <f aca="false">D349*I349</f>
        <v>2530623.00791557</v>
      </c>
      <c r="K349" s="7" t="n">
        <f aca="false">Parâmetros!$B$4+Parâmetros!$B$5*F349</f>
        <v>0.02</v>
      </c>
      <c r="L349" s="11" t="n">
        <f aca="false">D349*(1+G349)</f>
        <v>9017.80121177952</v>
      </c>
      <c r="M349" s="14" t="n">
        <v>0</v>
      </c>
      <c r="N349" s="4" t="n">
        <v>0.962962962962963</v>
      </c>
      <c r="O349" s="3" t="str">
        <f aca="false">IF(AND(B349=4,M349=1),IF(N349&lt;0.8,"Subgrupo 7 dias; fronteira de cluster","Subgrupo 7 dias"),IF(N349&lt;0.8,"Fronteira de cluster",""))</f>
        <v/>
      </c>
    </row>
    <row r="350" customFormat="false" ht="15" hidden="false" customHeight="false" outlineLevel="0" collapsed="false">
      <c r="A350" s="14" t="n">
        <v>349</v>
      </c>
      <c r="B350" s="14" t="n">
        <v>4</v>
      </c>
      <c r="C350" s="14" t="s">
        <v>33</v>
      </c>
      <c r="D350" s="15" t="n">
        <v>8159.21571428571</v>
      </c>
      <c r="E350" s="16" t="n">
        <f aca="false">INDEX(Parâmetros!$C$33:$C$37,MATCH(B350,Parâmetros!$A$33:$A$37,0))</f>
        <v>8837.10512820513</v>
      </c>
      <c r="F350" s="7" t="n">
        <f aca="false">MAX(0,(E350-D350)/D350)</f>
        <v>0.0830826684398746</v>
      </c>
      <c r="G350" s="7" t="n">
        <f aca="false">MIN(K350*Parâmetros!$B$19,Parâmetros!$B$8)</f>
        <v>0.0497480295803208</v>
      </c>
      <c r="H350" s="3" t="str">
        <f aca="false">IF(F350&gt;=Parâmetros!$B$6,"Ação","Acompanhamento")</f>
        <v>Acompanhamento</v>
      </c>
      <c r="I350" s="17" t="n">
        <v>271.231422505308</v>
      </c>
      <c r="J350" s="11" t="n">
        <f aca="false">D350*I350</f>
        <v>2213035.68471338</v>
      </c>
      <c r="K350" s="7" t="n">
        <f aca="false">Parâmetros!$B$4+Parâmetros!$B$5*F350</f>
        <v>0.0407706671099686</v>
      </c>
      <c r="L350" s="11" t="n">
        <f aca="false">D350*(1+G350)</f>
        <v>8565.12061899222</v>
      </c>
      <c r="M350" s="14" t="n">
        <v>0</v>
      </c>
      <c r="N350" s="4" t="n">
        <v>1</v>
      </c>
      <c r="O350" s="3" t="str">
        <f aca="false">IF(AND(B350=4,M350=1),IF(N350&lt;0.8,"Subgrupo 7 dias; fronteira de cluster","Subgrupo 7 dias"),IF(N350&lt;0.8,"Fronteira de cluster",""))</f>
        <v/>
      </c>
    </row>
    <row r="351" customFormat="false" ht="15" hidden="false" customHeight="false" outlineLevel="0" collapsed="false">
      <c r="A351" s="14" t="n">
        <v>350</v>
      </c>
      <c r="B351" s="14" t="n">
        <v>1</v>
      </c>
      <c r="C351" s="14" t="s">
        <v>30</v>
      </c>
      <c r="D351" s="15" t="n">
        <v>7013.13316261204</v>
      </c>
      <c r="E351" s="16" t="n">
        <f aca="false">INDEX(Parâmetros!$C$33:$C$37,MATCH(B351,Parâmetros!$A$33:$A$37,0))</f>
        <v>6959.92435130262</v>
      </c>
      <c r="F351" s="7" t="n">
        <f aca="false">MAX(0,(E351-D351)/D351)</f>
        <v>0</v>
      </c>
      <c r="G351" s="7" t="n">
        <f aca="false">MIN(K351*Parâmetros!$B$19,Parâmetros!$B$8)</f>
        <v>0.0244038339849275</v>
      </c>
      <c r="H351" s="3" t="str">
        <f aca="false">IF(F351&gt;=Parâmetros!$B$6,"Ação","Acompanhamento")</f>
        <v>Acompanhamento</v>
      </c>
      <c r="I351" s="17" t="n">
        <v>302.616772823779</v>
      </c>
      <c r="J351" s="11" t="n">
        <f aca="false">D351*I351</f>
        <v>2122291.72505308</v>
      </c>
      <c r="K351" s="7" t="n">
        <f aca="false">Parâmetros!$B$4+Parâmetros!$B$5*F351</f>
        <v>0.02</v>
      </c>
      <c r="L351" s="11" t="n">
        <f aca="false">D351*(1+G351)</f>
        <v>7184.28050002661</v>
      </c>
      <c r="M351" s="14" t="n">
        <v>0</v>
      </c>
      <c r="N351" s="4" t="n">
        <v>1</v>
      </c>
      <c r="O351" s="3" t="str">
        <f aca="false">IF(AND(B351=4,M351=1),IF(N351&lt;0.8,"Subgrupo 7 dias; fronteira de cluster","Subgrupo 7 dias"),IF(N351&lt;0.8,"Fronteira de cluster",""))</f>
        <v/>
      </c>
    </row>
    <row r="352" customFormat="false" ht="15" hidden="false" customHeight="false" outlineLevel="0" collapsed="false">
      <c r="A352" s="14" t="n">
        <v>351</v>
      </c>
      <c r="B352" s="14" t="n">
        <v>1</v>
      </c>
      <c r="C352" s="14" t="s">
        <v>30</v>
      </c>
      <c r="D352" s="15" t="n">
        <v>6046.86777920411</v>
      </c>
      <c r="E352" s="16" t="n">
        <f aca="false">INDEX(Parâmetros!$C$33:$C$37,MATCH(B352,Parâmetros!$A$33:$A$37,0))</f>
        <v>6959.92435130262</v>
      </c>
      <c r="F352" s="7" t="n">
        <f aca="false">MAX(0,(E352-D352)/D352)</f>
        <v>0.150996616006492</v>
      </c>
      <c r="G352" s="7" t="n">
        <f aca="false">MIN(K352*Parâmetros!$B$19,Parâmetros!$B$8)</f>
        <v>0.0704650383512809</v>
      </c>
      <c r="H352" s="3" t="str">
        <f aca="false">IF(F352&gt;=Parâmetros!$B$6,"Ação","Acompanhamento")</f>
        <v>Ação</v>
      </c>
      <c r="I352" s="17" t="n">
        <v>301.841825902336</v>
      </c>
      <c r="J352" s="11" t="n">
        <f aca="false">D352*I352</f>
        <v>1825197.61146497</v>
      </c>
      <c r="K352" s="7" t="n">
        <f aca="false">Parâmetros!$B$4+Parâmetros!$B$5*F352</f>
        <v>0.0577491540016231</v>
      </c>
      <c r="L352" s="11" t="n">
        <f aca="false">D352*(1+G352)</f>
        <v>6472.96054917085</v>
      </c>
      <c r="M352" s="14" t="n">
        <v>0</v>
      </c>
      <c r="N352" s="4" t="n">
        <v>1</v>
      </c>
      <c r="O352" s="3" t="str">
        <f aca="false">IF(AND(B352=4,M352=1),IF(N352&lt;0.8,"Subgrupo 7 dias; fronteira de cluster","Subgrupo 7 dias"),IF(N352&lt;0.8,"Fronteira de cluster",""))</f>
        <v/>
      </c>
    </row>
    <row r="353" customFormat="false" ht="15" hidden="false" customHeight="false" outlineLevel="0" collapsed="false">
      <c r="A353" s="14" t="n">
        <v>352</v>
      </c>
      <c r="B353" s="14" t="n">
        <v>1</v>
      </c>
      <c r="C353" s="14" t="s">
        <v>30</v>
      </c>
      <c r="D353" s="15" t="n">
        <v>6692.23214285714</v>
      </c>
      <c r="E353" s="16" t="n">
        <f aca="false">INDEX(Parâmetros!$C$33:$C$37,MATCH(B353,Parâmetros!$A$33:$A$37,0))</f>
        <v>6959.92435130262</v>
      </c>
      <c r="F353" s="7" t="n">
        <f aca="false">MAX(0,(E353-D353)/D353)</f>
        <v>0.0400004367348786</v>
      </c>
      <c r="G353" s="7" t="n">
        <f aca="false">MIN(K353*Parâmetros!$B$19,Parâmetros!$B$8)</f>
        <v>0.0366058842024596</v>
      </c>
      <c r="H353" s="3" t="str">
        <f aca="false">IF(F353&gt;=Parâmetros!$B$6,"Ação","Acompanhamento")</f>
        <v>Acompanhamento</v>
      </c>
      <c r="I353" s="17" t="n">
        <v>303.779193205945</v>
      </c>
      <c r="J353" s="11" t="n">
        <f aca="false">D353*I353</f>
        <v>2032960.88110403</v>
      </c>
      <c r="K353" s="7" t="n">
        <f aca="false">Parâmetros!$B$4+Parâmetros!$B$5*F353</f>
        <v>0.0300001091837196</v>
      </c>
      <c r="L353" s="11" t="n">
        <f aca="false">D353*(1+G353)</f>
        <v>6937.20721773455</v>
      </c>
      <c r="M353" s="14" t="n">
        <v>0</v>
      </c>
      <c r="N353" s="4" t="n">
        <v>1</v>
      </c>
      <c r="O353" s="3" t="str">
        <f aca="false">IF(AND(B353=4,M353=1),IF(N353&lt;0.8,"Subgrupo 7 dias; fronteira de cluster","Subgrupo 7 dias"),IF(N353&lt;0.8,"Fronteira de cluster",""))</f>
        <v/>
      </c>
    </row>
    <row r="354" customFormat="false" ht="15" hidden="false" customHeight="false" outlineLevel="0" collapsed="false">
      <c r="A354" s="14" t="n">
        <v>353</v>
      </c>
      <c r="B354" s="14" t="n">
        <v>4</v>
      </c>
      <c r="C354" s="14" t="s">
        <v>33</v>
      </c>
      <c r="D354" s="15" t="n">
        <v>5651.3688172043</v>
      </c>
      <c r="E354" s="16" t="n">
        <f aca="false">INDEX(Parâmetros!$C$33:$C$37,MATCH(B354,Parâmetros!$A$33:$A$37,0))</f>
        <v>8837.10512820513</v>
      </c>
      <c r="F354" s="7" t="n">
        <f aca="false">MAX(0,(E354-D354)/D354)</f>
        <v>0.563710565359419</v>
      </c>
      <c r="G354" s="7" t="n">
        <f aca="false">MIN(K354*Parâmetros!$B$19,Parâmetros!$B$8)</f>
        <v>0.196362572142188</v>
      </c>
      <c r="H354" s="3" t="str">
        <f aca="false">IF(F354&gt;=Parâmetros!$B$6,"Ação","Acompanhamento")</f>
        <v>Ação</v>
      </c>
      <c r="I354" s="17" t="n">
        <v>360.73779193206</v>
      </c>
      <c r="J354" s="11" t="n">
        <f aca="false">D354*I354</f>
        <v>2038662.30851197</v>
      </c>
      <c r="K354" s="7" t="n">
        <f aca="false">Parâmetros!$B$4+Parâmetros!$B$5*F354</f>
        <v>0.160927641339855</v>
      </c>
      <c r="L354" s="11" t="n">
        <f aca="false">D354*(1+G354)</f>
        <v>6761.08613427469</v>
      </c>
      <c r="M354" s="14" t="n">
        <v>1</v>
      </c>
      <c r="N354" s="4" t="n">
        <v>0.869047619047619</v>
      </c>
      <c r="O354" s="3" t="str">
        <f aca="false">IF(AND(B354=4,M354=1),IF(N354&lt;0.8,"Subgrupo 7 dias; fronteira de cluster","Subgrupo 7 dias"),IF(N354&lt;0.8,"Fronteira de cluster",""))</f>
        <v>Subgrupo 7 dias</v>
      </c>
    </row>
    <row r="355" customFormat="false" ht="15" hidden="false" customHeight="false" outlineLevel="0" collapsed="false">
      <c r="A355" s="14" t="n">
        <v>354</v>
      </c>
      <c r="B355" s="14" t="n">
        <v>1</v>
      </c>
      <c r="C355" s="14" t="s">
        <v>30</v>
      </c>
      <c r="D355" s="15" t="n">
        <v>8390.58151476252</v>
      </c>
      <c r="E355" s="16" t="n">
        <f aca="false">INDEX(Parâmetros!$C$33:$C$37,MATCH(B355,Parâmetros!$A$33:$A$37,0))</f>
        <v>6959.92435130262</v>
      </c>
      <c r="F355" s="7" t="n">
        <f aca="false">MAX(0,(E355-D355)/D355)</f>
        <v>0</v>
      </c>
      <c r="G355" s="7" t="n">
        <f aca="false">MIN(K355*Parâmetros!$B$19,Parâmetros!$B$8)</f>
        <v>0.0244038339849275</v>
      </c>
      <c r="H355" s="3" t="str">
        <f aca="false">IF(F355&gt;=Parâmetros!$B$6,"Ação","Acompanhamento")</f>
        <v>Acompanhamento</v>
      </c>
      <c r="I355" s="17" t="n">
        <v>301.841825902336</v>
      </c>
      <c r="J355" s="11" t="n">
        <f aca="false">D355*I355</f>
        <v>2532628.4447983</v>
      </c>
      <c r="K355" s="7" t="n">
        <f aca="false">Parâmetros!$B$4+Parâmetros!$B$5*F355</f>
        <v>0.02</v>
      </c>
      <c r="L355" s="11" t="n">
        <f aca="false">D355*(1+G355)</f>
        <v>8595.34387308578</v>
      </c>
      <c r="M355" s="14" t="n">
        <v>0</v>
      </c>
      <c r="N355" s="4" t="n">
        <v>1</v>
      </c>
      <c r="O355" s="3" t="str">
        <f aca="false">IF(AND(B355=4,M355=1),IF(N355&lt;0.8,"Subgrupo 7 dias; fronteira de cluster","Subgrupo 7 dias"),IF(N355&lt;0.8,"Fronteira de cluster",""))</f>
        <v/>
      </c>
    </row>
    <row r="356" customFormat="false" ht="15" hidden="false" customHeight="false" outlineLevel="0" collapsed="false">
      <c r="A356" s="14" t="n">
        <v>355</v>
      </c>
      <c r="B356" s="14" t="n">
        <v>1</v>
      </c>
      <c r="C356" s="14" t="s">
        <v>30</v>
      </c>
      <c r="D356" s="15" t="n">
        <v>9148.8112244898</v>
      </c>
      <c r="E356" s="16" t="n">
        <f aca="false">INDEX(Parâmetros!$C$33:$C$37,MATCH(B356,Parâmetros!$A$33:$A$37,0))</f>
        <v>6959.92435130262</v>
      </c>
      <c r="F356" s="7" t="n">
        <f aca="false">MAX(0,(E356-D356)/D356)</f>
        <v>0</v>
      </c>
      <c r="G356" s="7" t="n">
        <f aca="false">MIN(K356*Parâmetros!$B$19,Parâmetros!$B$8)</f>
        <v>0.0244038339849275</v>
      </c>
      <c r="H356" s="3" t="str">
        <f aca="false">IF(F356&gt;=Parâmetros!$B$6,"Ação","Acompanhamento")</f>
        <v>Acompanhamento</v>
      </c>
      <c r="I356" s="17" t="n">
        <v>303.779193205945</v>
      </c>
      <c r="J356" s="11" t="n">
        <f aca="false">D356*I356</f>
        <v>2779218.492569</v>
      </c>
      <c r="K356" s="7" t="n">
        <f aca="false">Parâmetros!$B$4+Parâmetros!$B$5*F356</f>
        <v>0.02</v>
      </c>
      <c r="L356" s="11" t="n">
        <f aca="false">D356*(1+G356)</f>
        <v>9372.07729477169</v>
      </c>
      <c r="M356" s="14" t="n">
        <v>0</v>
      </c>
      <c r="N356" s="4" t="n">
        <v>1</v>
      </c>
      <c r="O356" s="3" t="str">
        <f aca="false">IF(AND(B356=4,M356=1),IF(N356&lt;0.8,"Subgrupo 7 dias; fronteira de cluster","Subgrupo 7 dias"),IF(N356&lt;0.8,"Fronteira de cluster",""))</f>
        <v/>
      </c>
    </row>
    <row r="357" customFormat="false" ht="15" hidden="false" customHeight="false" outlineLevel="0" collapsed="false">
      <c r="A357" s="14" t="n">
        <v>356</v>
      </c>
      <c r="B357" s="14" t="n">
        <v>1</v>
      </c>
      <c r="C357" s="14" t="s">
        <v>30</v>
      </c>
      <c r="D357" s="15" t="n">
        <v>5719.28185328185</v>
      </c>
      <c r="E357" s="16" t="n">
        <f aca="false">INDEX(Parâmetros!$C$33:$C$37,MATCH(B357,Parâmetros!$A$33:$A$37,0))</f>
        <v>6959.92435130262</v>
      </c>
      <c r="F357" s="7" t="n">
        <f aca="false">MAX(0,(E357-D357)/D357)</f>
        <v>0.216922776293821</v>
      </c>
      <c r="G357" s="7" t="n">
        <f aca="false">MIN(K357*Parâmetros!$B$19,Parâmetros!$B$8)</f>
        <v>0.0905756767377269</v>
      </c>
      <c r="H357" s="3" t="str">
        <f aca="false">IF(F357&gt;=Parâmetros!$B$6,"Ação","Acompanhamento")</f>
        <v>Ação</v>
      </c>
      <c r="I357" s="17" t="n">
        <v>301.066878980892</v>
      </c>
      <c r="J357" s="11" t="n">
        <f aca="false">D357*I357</f>
        <v>1721886.33757962</v>
      </c>
      <c r="K357" s="7" t="n">
        <f aca="false">Parâmetros!$B$4+Parâmetros!$B$5*F357</f>
        <v>0.0742306940734552</v>
      </c>
      <c r="L357" s="11" t="n">
        <f aca="false">D357*(1+G357)</f>
        <v>6237.30967759666</v>
      </c>
      <c r="M357" s="14" t="n">
        <v>0</v>
      </c>
      <c r="N357" s="4" t="n">
        <v>1</v>
      </c>
      <c r="O357" s="3" t="str">
        <f aca="false">IF(AND(B357=4,M357=1),IF(N357&lt;0.8,"Subgrupo 7 dias; fronteira de cluster","Subgrupo 7 dias"),IF(N357&lt;0.8,"Fronteira de cluster",""))</f>
        <v/>
      </c>
    </row>
    <row r="358" customFormat="false" ht="15" hidden="false" customHeight="false" outlineLevel="0" collapsed="false">
      <c r="A358" s="14" t="n">
        <v>357</v>
      </c>
      <c r="B358" s="14" t="n">
        <v>2</v>
      </c>
      <c r="C358" s="14" t="s">
        <v>31</v>
      </c>
      <c r="D358" s="15" t="n">
        <v>7805.63363754889</v>
      </c>
      <c r="E358" s="16" t="n">
        <f aca="false">INDEX(Parâmetros!$C$33:$C$37,MATCH(B358,Parâmetros!$A$33:$A$37,0))</f>
        <v>6324.80102695764</v>
      </c>
      <c r="F358" s="7" t="n">
        <f aca="false">MAX(0,(E358-D358)/D358)</f>
        <v>0</v>
      </c>
      <c r="G358" s="7" t="n">
        <f aca="false">MIN(K358*Parâmetros!$B$19,Parâmetros!$B$8)</f>
        <v>0.0244038339849275</v>
      </c>
      <c r="H358" s="3" t="str">
        <f aca="false">IF(F358&gt;=Parâmetros!$B$6,"Ação","Acompanhamento")</f>
        <v>Acompanhamento</v>
      </c>
      <c r="I358" s="17" t="n">
        <v>297.579617834395</v>
      </c>
      <c r="J358" s="11" t="n">
        <f aca="false">D358*I358</f>
        <v>2322797.4748171</v>
      </c>
      <c r="K358" s="7" t="n">
        <f aca="false">Parâmetros!$B$4+Parâmetros!$B$5*F358</f>
        <v>0.02</v>
      </c>
      <c r="L358" s="11" t="n">
        <f aca="false">D358*(1+G358)</f>
        <v>7996.1210249868</v>
      </c>
      <c r="M358" s="14" t="n">
        <v>0</v>
      </c>
      <c r="N358" s="4" t="n">
        <v>0.962962962962963</v>
      </c>
      <c r="O358" s="3" t="str">
        <f aca="false">IF(AND(B358=4,M358=1),IF(N358&lt;0.8,"Subgrupo 7 dias; fronteira de cluster","Subgrupo 7 dias"),IF(N358&lt;0.8,"Fronteira de cluster",""))</f>
        <v/>
      </c>
    </row>
    <row r="359" customFormat="false" ht="15" hidden="false" customHeight="false" outlineLevel="0" collapsed="false">
      <c r="A359" s="14" t="n">
        <v>358</v>
      </c>
      <c r="B359" s="14" t="n">
        <v>4</v>
      </c>
      <c r="C359" s="14" t="s">
        <v>33</v>
      </c>
      <c r="D359" s="15" t="n">
        <v>10306.1116816431</v>
      </c>
      <c r="E359" s="16" t="n">
        <f aca="false">INDEX(Parâmetros!$C$33:$C$37,MATCH(B359,Parâmetros!$A$33:$A$37,0))</f>
        <v>8837.10512820513</v>
      </c>
      <c r="F359" s="7" t="n">
        <f aca="false">MAX(0,(E359-D359)/D359)</f>
        <v>0</v>
      </c>
      <c r="G359" s="7" t="n">
        <f aca="false">MIN(K359*Parâmetros!$B$19,Parâmetros!$B$8)</f>
        <v>0.0244038339849275</v>
      </c>
      <c r="H359" s="3" t="str">
        <f aca="false">IF(F359&gt;=Parâmetros!$B$6,"Ação","Acompanhamento")</f>
        <v>Acompanhamento</v>
      </c>
      <c r="I359" s="17" t="n">
        <v>301.841825902336</v>
      </c>
      <c r="J359" s="11" t="n">
        <f aca="false">D359*I359</f>
        <v>3110815.56794055</v>
      </c>
      <c r="K359" s="7" t="n">
        <f aca="false">Parâmetros!$B$4+Parâmetros!$B$5*F359</f>
        <v>0.02</v>
      </c>
      <c r="L359" s="11" t="n">
        <f aca="false">D359*(1+G359)</f>
        <v>10557.6203201521</v>
      </c>
      <c r="M359" s="14" t="n">
        <v>0</v>
      </c>
      <c r="N359" s="4" t="n">
        <v>0.938271604938272</v>
      </c>
      <c r="O359" s="3" t="str">
        <f aca="false">IF(AND(B359=4,M359=1),IF(N359&lt;0.8,"Subgrupo 7 dias; fronteira de cluster","Subgrupo 7 dias"),IF(N359&lt;0.8,"Fronteira de cluster",""))</f>
        <v/>
      </c>
    </row>
    <row r="360" customFormat="false" ht="15" hidden="false" customHeight="false" outlineLevel="0" collapsed="false">
      <c r="A360" s="14" t="n">
        <v>359</v>
      </c>
      <c r="B360" s="14" t="n">
        <v>1</v>
      </c>
      <c r="C360" s="14" t="s">
        <v>30</v>
      </c>
      <c r="D360" s="15" t="n">
        <v>6851.25545571245</v>
      </c>
      <c r="E360" s="16" t="n">
        <f aca="false">INDEX(Parâmetros!$C$33:$C$37,MATCH(B360,Parâmetros!$A$33:$A$37,0))</f>
        <v>6959.92435130262</v>
      </c>
      <c r="F360" s="7" t="n">
        <f aca="false">MAX(0,(E360-D360)/D360)</f>
        <v>0.0158611653429975</v>
      </c>
      <c r="G360" s="7" t="n">
        <f aca="false">MIN(K360*Parâmetros!$B$19,Parâmetros!$B$8)</f>
        <v>0.0292422495579024</v>
      </c>
      <c r="H360" s="3" t="str">
        <f aca="false">IF(F360&gt;=Parâmetros!$B$6,"Ação","Acompanhamento")</f>
        <v>Acompanhamento</v>
      </c>
      <c r="I360" s="17" t="n">
        <v>301.841825902336</v>
      </c>
      <c r="J360" s="11" t="n">
        <f aca="false">D360*I360</f>
        <v>2067995.45647558</v>
      </c>
      <c r="K360" s="7" t="n">
        <f aca="false">Parâmetros!$B$4+Parâmetros!$B$5*F360</f>
        <v>0.0239652913357494</v>
      </c>
      <c r="L360" s="11" t="n">
        <f aca="false">D360*(1+G360)</f>
        <v>7051.60157753334</v>
      </c>
      <c r="M360" s="14" t="n">
        <v>0</v>
      </c>
      <c r="N360" s="4" t="n">
        <v>1</v>
      </c>
      <c r="O360" s="3" t="str">
        <f aca="false">IF(AND(B360=4,M360=1),IF(N360&lt;0.8,"Subgrupo 7 dias; fronteira de cluster","Subgrupo 7 dias"),IF(N360&lt;0.8,"Fronteira de cluster",""))</f>
        <v/>
      </c>
    </row>
    <row r="361" customFormat="false" ht="15" hidden="false" customHeight="false" outlineLevel="0" collapsed="false">
      <c r="A361" s="14" t="n">
        <v>360</v>
      </c>
      <c r="B361" s="14" t="n">
        <v>0</v>
      </c>
      <c r="C361" s="14" t="s">
        <v>29</v>
      </c>
      <c r="D361" s="15" t="n">
        <v>6935.45918367347</v>
      </c>
      <c r="E361" s="16" t="n">
        <f aca="false">INDEX(Parâmetros!$C$33:$C$37,MATCH(B361,Parâmetros!$A$33:$A$37,0))</f>
        <v>5476.37033462034</v>
      </c>
      <c r="F361" s="7" t="n">
        <f aca="false">MAX(0,(E361-D361)/D361)</f>
        <v>0</v>
      </c>
      <c r="G361" s="7" t="n">
        <f aca="false">MIN(K361*Parâmetros!$B$19,Parâmetros!$B$8)</f>
        <v>0.0244038339849275</v>
      </c>
      <c r="H361" s="3" t="str">
        <f aca="false">IF(F361&gt;=Parâmetros!$B$6,"Ação","Acompanhamento")</f>
        <v>Acompanhamento</v>
      </c>
      <c r="I361" s="17" t="n">
        <v>303.779193205945</v>
      </c>
      <c r="J361" s="11" t="n">
        <f aca="false">D361*I361</f>
        <v>2106848.19532909</v>
      </c>
      <c r="K361" s="7" t="n">
        <f aca="false">Parâmetros!$B$4+Parâmetros!$B$5*F361</f>
        <v>0.02</v>
      </c>
      <c r="L361" s="11" t="n">
        <f aca="false">D361*(1+G361)</f>
        <v>7104.71097820108</v>
      </c>
      <c r="M361" s="14" t="n">
        <v>0</v>
      </c>
      <c r="N361" s="4" t="n">
        <v>0.986666666666667</v>
      </c>
      <c r="O361" s="3" t="str">
        <f aca="false">IF(AND(B361=4,M361=1),IF(N361&lt;0.8,"Subgrupo 7 dias; fronteira de cluster","Subgrupo 7 dias"),IF(N361&lt;0.8,"Fronteira de cluster",""))</f>
        <v/>
      </c>
    </row>
    <row r="362" customFormat="false" ht="15" hidden="false" customHeight="false" outlineLevel="0" collapsed="false">
      <c r="A362" s="14" t="n">
        <v>361</v>
      </c>
      <c r="B362" s="14" t="n">
        <v>1</v>
      </c>
      <c r="C362" s="14" t="s">
        <v>30</v>
      </c>
      <c r="D362" s="15" t="n">
        <v>6266.88333333333</v>
      </c>
      <c r="E362" s="16" t="n">
        <f aca="false">INDEX(Parâmetros!$C$33:$C$37,MATCH(B362,Parâmetros!$A$33:$A$37,0))</f>
        <v>6959.92435130262</v>
      </c>
      <c r="F362" s="7" t="n">
        <f aca="false">MAX(0,(E362-D362)/D362)</f>
        <v>0.11058782828827</v>
      </c>
      <c r="G362" s="7" t="n">
        <f aca="false">MIN(K362*Parâmetros!$B$19,Parâmetros!$B$8)</f>
        <v>0.058138421513685</v>
      </c>
      <c r="H362" s="3" t="str">
        <f aca="false">IF(F362&gt;=Parâmetros!$B$6,"Ação","Acompanhamento")</f>
        <v>Ação</v>
      </c>
      <c r="I362" s="17" t="n">
        <v>302.229299363057</v>
      </c>
      <c r="J362" s="11" t="n">
        <f aca="false">D362*I362</f>
        <v>1894035.75902335</v>
      </c>
      <c r="K362" s="7" t="n">
        <f aca="false">Parâmetros!$B$4+Parâmetros!$B$5*F362</f>
        <v>0.0476469570720675</v>
      </c>
      <c r="L362" s="11" t="n">
        <f aca="false">D362*(1+G362)</f>
        <v>6631.23003814375</v>
      </c>
      <c r="M362" s="14" t="n">
        <v>0</v>
      </c>
      <c r="N362" s="4" t="n">
        <v>1</v>
      </c>
      <c r="O362" s="3" t="str">
        <f aca="false">IF(AND(B362=4,M362=1),IF(N362&lt;0.8,"Subgrupo 7 dias; fronteira de cluster","Subgrupo 7 dias"),IF(N362&lt;0.8,"Fronteira de cluster",""))</f>
        <v/>
      </c>
    </row>
    <row r="363" customFormat="false" ht="15" hidden="false" customHeight="false" outlineLevel="0" collapsed="false">
      <c r="A363" s="14" t="n">
        <v>362</v>
      </c>
      <c r="B363" s="14" t="n">
        <v>4</v>
      </c>
      <c r="C363" s="14" t="s">
        <v>33</v>
      </c>
      <c r="D363" s="15" t="n">
        <v>9376.65556978233</v>
      </c>
      <c r="E363" s="16" t="n">
        <f aca="false">INDEX(Parâmetros!$C$33:$C$37,MATCH(B363,Parâmetros!$A$33:$A$37,0))</f>
        <v>8837.10512820513</v>
      </c>
      <c r="F363" s="7" t="n">
        <f aca="false">MAX(0,(E363-D363)/D363)</f>
        <v>0</v>
      </c>
      <c r="G363" s="7" t="n">
        <f aca="false">MIN(K363*Parâmetros!$B$19,Parâmetros!$B$8)</f>
        <v>0.0244038339849275</v>
      </c>
      <c r="H363" s="3" t="str">
        <f aca="false">IF(F363&gt;=Parâmetros!$B$6,"Ação","Acompanhamento")</f>
        <v>Acompanhamento</v>
      </c>
      <c r="I363" s="17" t="n">
        <v>302.616772823779</v>
      </c>
      <c r="J363" s="11" t="n">
        <f aca="false">D363*I363</f>
        <v>2837533.24840764</v>
      </c>
      <c r="K363" s="7" t="n">
        <f aca="false">Parâmetros!$B$4+Parâmetros!$B$5*F363</f>
        <v>0.02</v>
      </c>
      <c r="L363" s="11" t="n">
        <f aca="false">D363*(1+G363)</f>
        <v>9605.48191564114</v>
      </c>
      <c r="M363" s="14" t="n">
        <v>0</v>
      </c>
      <c r="N363" s="4" t="n">
        <v>1</v>
      </c>
      <c r="O363" s="3" t="str">
        <f aca="false">IF(AND(B363=4,M363=1),IF(N363&lt;0.8,"Subgrupo 7 dias; fronteira de cluster","Subgrupo 7 dias"),IF(N363&lt;0.8,"Fronteira de cluster",""))</f>
        <v/>
      </c>
    </row>
    <row r="364" customFormat="false" ht="15" hidden="false" customHeight="false" outlineLevel="0" collapsed="false">
      <c r="A364" s="14" t="n">
        <v>363</v>
      </c>
      <c r="B364" s="14" t="n">
        <v>4</v>
      </c>
      <c r="C364" s="14" t="s">
        <v>33</v>
      </c>
      <c r="D364" s="15" t="n">
        <v>7134.20025510204</v>
      </c>
      <c r="E364" s="16" t="n">
        <f aca="false">INDEX(Parâmetros!$C$33:$C$37,MATCH(B364,Parâmetros!$A$33:$A$37,0))</f>
        <v>8837.10512820513</v>
      </c>
      <c r="F364" s="7" t="n">
        <f aca="false">MAX(0,(E364-D364)/D364)</f>
        <v>0.23869597322913</v>
      </c>
      <c r="G364" s="7" t="n">
        <f aca="false">MIN(K364*Parâmetros!$B$19,Parâmetros!$B$8)</f>
        <v>0.097217545279357</v>
      </c>
      <c r="H364" s="3" t="str">
        <f aca="false">IF(F364&gt;=Parâmetros!$B$6,"Ação","Acompanhamento")</f>
        <v>Ação</v>
      </c>
      <c r="I364" s="17" t="n">
        <v>303.779193205945</v>
      </c>
      <c r="J364" s="11" t="n">
        <f aca="false">D364*I364</f>
        <v>2167221.59766454</v>
      </c>
      <c r="K364" s="7" t="n">
        <f aca="false">Parâmetros!$B$4+Parâmetros!$B$5*F364</f>
        <v>0.0796739933072824</v>
      </c>
      <c r="L364" s="11" t="n">
        <f aca="false">D364*(1+G364)</f>
        <v>7827.76969143443</v>
      </c>
      <c r="M364" s="14" t="n">
        <v>0</v>
      </c>
      <c r="N364" s="4" t="n">
        <v>1</v>
      </c>
      <c r="O364" s="3" t="str">
        <f aca="false">IF(AND(B364=4,M364=1),IF(N364&lt;0.8,"Subgrupo 7 dias; fronteira de cluster","Subgrupo 7 dias"),IF(N364&lt;0.8,"Fronteira de cluster",""))</f>
        <v/>
      </c>
    </row>
    <row r="365" customFormat="false" ht="15" hidden="false" customHeight="false" outlineLevel="0" collapsed="false">
      <c r="A365" s="14" t="n">
        <v>364</v>
      </c>
      <c r="B365" s="14" t="n">
        <v>2</v>
      </c>
      <c r="C365" s="14" t="s">
        <v>31</v>
      </c>
      <c r="D365" s="15" t="n">
        <v>4564.95578673602</v>
      </c>
      <c r="E365" s="16" t="n">
        <f aca="false">INDEX(Parâmetros!$C$33:$C$37,MATCH(B365,Parâmetros!$A$33:$A$37,0))</f>
        <v>6324.80102695764</v>
      </c>
      <c r="F365" s="7" t="n">
        <f aca="false">MAX(0,(E365-D365)/D365)</f>
        <v>0.38551200108773</v>
      </c>
      <c r="G365" s="7" t="n">
        <f aca="false">MIN(K365*Parâmetros!$B$19,Parâmetros!$B$8)</f>
        <v>0.142003469906704</v>
      </c>
      <c r="H365" s="3" t="str">
        <f aca="false">IF(F365&gt;=Parâmetros!$B$6,"Ação","Acompanhamento")</f>
        <v>Ação</v>
      </c>
      <c r="I365" s="17" t="n">
        <v>298.742038216561</v>
      </c>
      <c r="J365" s="11" t="n">
        <f aca="false">D365*I365</f>
        <v>1363744.196098</v>
      </c>
      <c r="K365" s="7" t="n">
        <f aca="false">Parâmetros!$B$4+Parâmetros!$B$5*F365</f>
        <v>0.116378000271933</v>
      </c>
      <c r="L365" s="11" t="n">
        <f aca="false">D365*(1+G365)</f>
        <v>5213.19534842322</v>
      </c>
      <c r="M365" s="14" t="n">
        <v>0</v>
      </c>
      <c r="N365" s="4" t="n">
        <v>0.949367088607595</v>
      </c>
      <c r="O365" s="3" t="str">
        <f aca="false">IF(AND(B365=4,M365=1),IF(N365&lt;0.8,"Subgrupo 7 dias; fronteira de cluster","Subgrupo 7 dias"),IF(N365&lt;0.8,"Fronteira de cluster",""))</f>
        <v/>
      </c>
    </row>
    <row r="366" customFormat="false" ht="15" hidden="false" customHeight="false" outlineLevel="0" collapsed="false">
      <c r="A366" s="14" t="n">
        <v>365</v>
      </c>
      <c r="B366" s="14" t="n">
        <v>0</v>
      </c>
      <c r="C366" s="14" t="s">
        <v>29</v>
      </c>
      <c r="D366" s="15" t="n">
        <v>5440.59420289855</v>
      </c>
      <c r="E366" s="16" t="n">
        <f aca="false">INDEX(Parâmetros!$C$33:$C$37,MATCH(B366,Parâmetros!$A$33:$A$37,0))</f>
        <v>5476.37033462034</v>
      </c>
      <c r="F366" s="7" t="n">
        <f aca="false">MAX(0,(E366-D366)/D366)</f>
        <v>0.00657577653976168</v>
      </c>
      <c r="G366" s="7" t="n">
        <f aca="false">MIN(K366*Parâmetros!$B$19,Parâmetros!$B$8)</f>
        <v>0.0264097609724065</v>
      </c>
      <c r="H366" s="3" t="str">
        <f aca="false">IF(F366&gt;=Parâmetros!$B$6,"Ação","Acompanhamento")</f>
        <v>Acompanhamento</v>
      </c>
      <c r="I366" s="17" t="n">
        <v>299.030343007916</v>
      </c>
      <c r="J366" s="11" t="n">
        <f aca="false">D366*I366</f>
        <v>1626902.75065963</v>
      </c>
      <c r="K366" s="7" t="n">
        <f aca="false">Parâmetros!$B$4+Parâmetros!$B$5*F366</f>
        <v>0.0216439441349404</v>
      </c>
      <c r="L366" s="11" t="n">
        <f aca="false">D366*(1+G366)</f>
        <v>5584.27899534496</v>
      </c>
      <c r="M366" s="14" t="n">
        <v>0</v>
      </c>
      <c r="N366" s="4" t="n">
        <v>0.962962962962963</v>
      </c>
      <c r="O366" s="3" t="str">
        <f aca="false">IF(AND(B366=4,M366=1),IF(N366&lt;0.8,"Subgrupo 7 dias; fronteira de cluster","Subgrupo 7 dias"),IF(N366&lt;0.8,"Fronteira de cluster",""))</f>
        <v/>
      </c>
    </row>
    <row r="367" customFormat="false" ht="15" hidden="false" customHeight="false" outlineLevel="0" collapsed="false">
      <c r="A367" s="14" t="n">
        <v>366</v>
      </c>
      <c r="B367" s="14" t="n">
        <v>3</v>
      </c>
      <c r="C367" s="14" t="s">
        <v>32</v>
      </c>
      <c r="D367" s="15" t="n">
        <v>6196.76282051282</v>
      </c>
      <c r="E367" s="16" t="n">
        <f aca="false">INDEX(Parâmetros!$C$33:$C$37,MATCH(B367,Parâmetros!$A$33:$A$37,0))</f>
        <v>5909.24487179487</v>
      </c>
      <c r="F367" s="7" t="n">
        <f aca="false">MAX(0,(E367-D367)/D367)</f>
        <v>0</v>
      </c>
      <c r="G367" s="7" t="n">
        <f aca="false">MIN(K367*Parâmetros!$B$19,Parâmetros!$B$8)</f>
        <v>0.0244038339849275</v>
      </c>
      <c r="H367" s="3" t="str">
        <f aca="false">IF(F367&gt;=Parâmetros!$B$6,"Ação","Acompanhamento")</f>
        <v>Acompanhamento</v>
      </c>
      <c r="I367" s="17" t="n">
        <v>302.229299363057</v>
      </c>
      <c r="J367" s="11" t="n">
        <f aca="false">D367*I367</f>
        <v>1872843.28556263</v>
      </c>
      <c r="K367" s="7" t="n">
        <f aca="false">Parâmetros!$B$4+Parâmetros!$B$5*F367</f>
        <v>0.02</v>
      </c>
      <c r="L367" s="11" t="n">
        <f aca="false">D367*(1+G367)</f>
        <v>6347.98759162859</v>
      </c>
      <c r="M367" s="14" t="n">
        <v>0</v>
      </c>
      <c r="N367" s="4" t="n">
        <v>1</v>
      </c>
      <c r="O367" s="3" t="str">
        <f aca="false">IF(AND(B367=4,M367=1),IF(N367&lt;0.8,"Subgrupo 7 dias; fronteira de cluster","Subgrupo 7 dias"),IF(N367&lt;0.8,"Fronteira de cluster",""))</f>
        <v/>
      </c>
    </row>
    <row r="368" customFormat="false" ht="15" hidden="false" customHeight="false" outlineLevel="0" collapsed="false">
      <c r="A368" s="14" t="n">
        <v>367</v>
      </c>
      <c r="B368" s="14" t="n">
        <v>0</v>
      </c>
      <c r="C368" s="14" t="s">
        <v>29</v>
      </c>
      <c r="D368" s="15" t="n">
        <v>5254.23852040816</v>
      </c>
      <c r="E368" s="16" t="n">
        <f aca="false">INDEX(Parâmetros!$C$33:$C$37,MATCH(B368,Parâmetros!$A$33:$A$37,0))</f>
        <v>5476.37033462034</v>
      </c>
      <c r="F368" s="7" t="n">
        <f aca="false">MAX(0,(E368-D368)/D368)</f>
        <v>0.0422766902091297</v>
      </c>
      <c r="G368" s="7" t="n">
        <f aca="false">MIN(K368*Parâmetros!$B$19,Parâmetros!$B$8)</f>
        <v>0.0373002506011251</v>
      </c>
      <c r="H368" s="3" t="str">
        <f aca="false">IF(F368&gt;=Parâmetros!$B$6,"Ação","Acompanhamento")</f>
        <v>Acompanhamento</v>
      </c>
      <c r="I368" s="17" t="n">
        <v>303.779193205945</v>
      </c>
      <c r="J368" s="11" t="n">
        <f aca="false">D368*I368</f>
        <v>1596128.33864119</v>
      </c>
      <c r="K368" s="7" t="n">
        <f aca="false">Parâmetros!$B$4+Parâmetros!$B$5*F368</f>
        <v>0.0305691725522824</v>
      </c>
      <c r="L368" s="11" t="n">
        <f aca="false">D368*(1+G368)</f>
        <v>5450.22293393747</v>
      </c>
      <c r="M368" s="14" t="n">
        <v>0</v>
      </c>
      <c r="N368" s="4" t="n">
        <v>1</v>
      </c>
      <c r="O368" s="3" t="str">
        <f aca="false">IF(AND(B368=4,M368=1),IF(N368&lt;0.8,"Subgrupo 7 dias; fronteira de cluster","Subgrupo 7 dias"),IF(N368&lt;0.8,"Fronteira de cluster",""))</f>
        <v/>
      </c>
    </row>
    <row r="369" customFormat="false" ht="15" hidden="false" customHeight="false" outlineLevel="0" collapsed="false">
      <c r="A369" s="14" t="n">
        <v>368</v>
      </c>
      <c r="B369" s="14" t="n">
        <v>3</v>
      </c>
      <c r="C369" s="14" t="s">
        <v>32</v>
      </c>
      <c r="D369" s="15" t="n">
        <v>9686.26898326899</v>
      </c>
      <c r="E369" s="16" t="n">
        <f aca="false">INDEX(Parâmetros!$C$33:$C$37,MATCH(B369,Parâmetros!$A$33:$A$37,0))</f>
        <v>5909.24487179487</v>
      </c>
      <c r="F369" s="7" t="n">
        <f aca="false">MAX(0,(E369-D369)/D369)</f>
        <v>0</v>
      </c>
      <c r="G369" s="7" t="n">
        <f aca="false">MIN(K369*Parâmetros!$B$19,Parâmetros!$B$8)</f>
        <v>0.0244038339849275</v>
      </c>
      <c r="H369" s="3" t="str">
        <f aca="false">IF(F369&gt;=Parâmetros!$B$6,"Ação","Acompanhamento")</f>
        <v>Acompanhamento</v>
      </c>
      <c r="I369" s="17" t="n">
        <v>301.066878980892</v>
      </c>
      <c r="J369" s="11" t="n">
        <f aca="false">D369*I369</f>
        <v>2916214.77176221</v>
      </c>
      <c r="K369" s="7" t="n">
        <f aca="false">Parâmetros!$B$4+Parâmetros!$B$5*F369</f>
        <v>0.02</v>
      </c>
      <c r="L369" s="11" t="n">
        <f aca="false">D369*(1+G369)</f>
        <v>9922.65108347003</v>
      </c>
      <c r="M369" s="14" t="n">
        <v>0</v>
      </c>
      <c r="N369" s="4" t="n">
        <v>0.725</v>
      </c>
      <c r="O369" s="3" t="str">
        <f aca="false">IF(AND(B369=4,M369=1),IF(N369&lt;0.8,"Subgrupo 7 dias; fronteira de cluster","Subgrupo 7 dias"),IF(N369&lt;0.8,"Fronteira de cluster",""))</f>
        <v>Fronteira de cluster</v>
      </c>
    </row>
    <row r="370" customFormat="false" ht="15" hidden="false" customHeight="false" outlineLevel="0" collapsed="false">
      <c r="A370" s="14" t="n">
        <v>369</v>
      </c>
      <c r="B370" s="14" t="n">
        <v>1</v>
      </c>
      <c r="C370" s="14" t="s">
        <v>30</v>
      </c>
      <c r="D370" s="15" t="n">
        <v>6856.5595390525</v>
      </c>
      <c r="E370" s="16" t="n">
        <f aca="false">INDEX(Parâmetros!$C$33:$C$37,MATCH(B370,Parâmetros!$A$33:$A$37,0))</f>
        <v>6959.92435130262</v>
      </c>
      <c r="F370" s="7" t="n">
        <f aca="false">MAX(0,(E370-D370)/D370)</f>
        <v>0.0150753175351859</v>
      </c>
      <c r="G370" s="7" t="n">
        <f aca="false">MIN(K370*Parâmetros!$B$19,Parâmetros!$B$8)</f>
        <v>0.0290025283149117</v>
      </c>
      <c r="H370" s="3" t="str">
        <f aca="false">IF(F370&gt;=Parâmetros!$B$6,"Ação","Acompanhamento")</f>
        <v>Acompanhamento</v>
      </c>
      <c r="I370" s="17" t="n">
        <v>302.616772823779</v>
      </c>
      <c r="J370" s="11" t="n">
        <f aca="false">D370*I370</f>
        <v>2074909.92038217</v>
      </c>
      <c r="K370" s="7" t="n">
        <f aca="false">Parâmetros!$B$4+Parâmetros!$B$5*F370</f>
        <v>0.0237688293837965</v>
      </c>
      <c r="L370" s="11" t="n">
        <f aca="false">D370*(1+G370)</f>
        <v>7055.41710122675</v>
      </c>
      <c r="M370" s="14" t="n">
        <v>0</v>
      </c>
      <c r="N370" s="4" t="n">
        <v>1</v>
      </c>
      <c r="O370" s="3" t="str">
        <f aca="false">IF(AND(B370=4,M370=1),IF(N370&lt;0.8,"Subgrupo 7 dias; fronteira de cluster","Subgrupo 7 dias"),IF(N370&lt;0.8,"Fronteira de cluster",""))</f>
        <v/>
      </c>
    </row>
    <row r="371" customFormat="false" ht="15" hidden="false" customHeight="false" outlineLevel="0" collapsed="false">
      <c r="A371" s="14" t="n">
        <v>370</v>
      </c>
      <c r="B371" s="14" t="n">
        <v>1</v>
      </c>
      <c r="C371" s="14" t="s">
        <v>30</v>
      </c>
      <c r="D371" s="15" t="n">
        <v>7649.6431322208</v>
      </c>
      <c r="E371" s="16" t="n">
        <f aca="false">INDEX(Parâmetros!$C$33:$C$37,MATCH(B371,Parâmetros!$A$33:$A$37,0))</f>
        <v>6959.92435130262</v>
      </c>
      <c r="F371" s="7" t="n">
        <f aca="false">MAX(0,(E371-D371)/D371)</f>
        <v>0</v>
      </c>
      <c r="G371" s="7" t="n">
        <f aca="false">MIN(K371*Parâmetros!$B$19,Parâmetros!$B$8)</f>
        <v>0.0244038339849275</v>
      </c>
      <c r="H371" s="3" t="str">
        <f aca="false">IF(F371&gt;=Parâmetros!$B$6,"Ação","Acompanhamento")</f>
        <v>Acompanhamento</v>
      </c>
      <c r="I371" s="17" t="n">
        <v>301.841825902336</v>
      </c>
      <c r="J371" s="11" t="n">
        <f aca="false">D371*I371</f>
        <v>2308982.25053079</v>
      </c>
      <c r="K371" s="7" t="n">
        <f aca="false">Parâmetros!$B$4+Parâmetros!$B$5*F371</f>
        <v>0.02</v>
      </c>
      <c r="L371" s="11" t="n">
        <f aca="false">D371*(1+G371)</f>
        <v>7836.32375326345</v>
      </c>
      <c r="M371" s="14" t="n">
        <v>0</v>
      </c>
      <c r="N371" s="4" t="n">
        <v>1</v>
      </c>
      <c r="O371" s="3" t="str">
        <f aca="false">IF(AND(B371=4,M371=1),IF(N371&lt;0.8,"Subgrupo 7 dias; fronteira de cluster","Subgrupo 7 dias"),IF(N371&lt;0.8,"Fronteira de cluster",""))</f>
        <v/>
      </c>
    </row>
    <row r="372" customFormat="false" ht="15" hidden="false" customHeight="false" outlineLevel="0" collapsed="false">
      <c r="A372" s="14" t="n">
        <v>371</v>
      </c>
      <c r="B372" s="14" t="n">
        <v>1</v>
      </c>
      <c r="C372" s="14" t="s">
        <v>30</v>
      </c>
      <c r="D372" s="15" t="n">
        <v>6889.75672215109</v>
      </c>
      <c r="E372" s="16" t="n">
        <f aca="false">INDEX(Parâmetros!$C$33:$C$37,MATCH(B372,Parâmetros!$A$33:$A$37,0))</f>
        <v>6959.92435130262</v>
      </c>
      <c r="F372" s="7" t="n">
        <f aca="false">MAX(0,(E372-D372)/D372)</f>
        <v>0.010184340606097</v>
      </c>
      <c r="G372" s="7" t="n">
        <f aca="false">MIN(K372*Parâmetros!$B$19,Parâmetros!$B$8)</f>
        <v>0.0275105459523918</v>
      </c>
      <c r="H372" s="3" t="str">
        <f aca="false">IF(F372&gt;=Parâmetros!$B$6,"Ação","Acompanhamento")</f>
        <v>Acompanhamento</v>
      </c>
      <c r="I372" s="17" t="n">
        <v>302.616772823779</v>
      </c>
      <c r="J372" s="11" t="n">
        <f aca="false">D372*I372</f>
        <v>2084955.9447983</v>
      </c>
      <c r="K372" s="7" t="n">
        <f aca="false">Parâmetros!$B$4+Parâmetros!$B$5*F372</f>
        <v>0.0225460851515243</v>
      </c>
      <c r="L372" s="11" t="n">
        <f aca="false">D372*(1+G372)</f>
        <v>7079.29769105663</v>
      </c>
      <c r="M372" s="14" t="n">
        <v>0</v>
      </c>
      <c r="N372" s="4" t="n">
        <v>1</v>
      </c>
      <c r="O372" s="3" t="str">
        <f aca="false">IF(AND(B372=4,M372=1),IF(N372&lt;0.8,"Subgrupo 7 dias; fronteira de cluster","Subgrupo 7 dias"),IF(N372&lt;0.8,"Fronteira de cluster",""))</f>
        <v/>
      </c>
    </row>
    <row r="373" customFormat="false" ht="15" hidden="false" customHeight="false" outlineLevel="0" collapsed="false">
      <c r="A373" s="14" t="n">
        <v>372</v>
      </c>
      <c r="B373" s="14" t="n">
        <v>1</v>
      </c>
      <c r="C373" s="14" t="s">
        <v>30</v>
      </c>
      <c r="D373" s="15" t="n">
        <v>8786.20667522465</v>
      </c>
      <c r="E373" s="16" t="n">
        <f aca="false">INDEX(Parâmetros!$C$33:$C$37,MATCH(B373,Parâmetros!$A$33:$A$37,0))</f>
        <v>6959.92435130262</v>
      </c>
      <c r="F373" s="7" t="n">
        <f aca="false">MAX(0,(E373-D373)/D373)</f>
        <v>0</v>
      </c>
      <c r="G373" s="7" t="n">
        <f aca="false">MIN(K373*Parâmetros!$B$19,Parâmetros!$B$8)</f>
        <v>0.0244038339849275</v>
      </c>
      <c r="H373" s="3" t="str">
        <f aca="false">IF(F373&gt;=Parâmetros!$B$6,"Ação","Acompanhamento")</f>
        <v>Acompanhamento</v>
      </c>
      <c r="I373" s="17" t="n">
        <v>301.841825902336</v>
      </c>
      <c r="J373" s="11" t="n">
        <f aca="false">D373*I373</f>
        <v>2652044.6656051</v>
      </c>
      <c r="K373" s="7" t="n">
        <f aca="false">Parâmetros!$B$4+Parâmetros!$B$5*F373</f>
        <v>0.02</v>
      </c>
      <c r="L373" s="11" t="n">
        <f aca="false">D373*(1+G373)</f>
        <v>9000.62380428409</v>
      </c>
      <c r="M373" s="14" t="n">
        <v>0</v>
      </c>
      <c r="N373" s="4" t="n">
        <v>1</v>
      </c>
      <c r="O373" s="3" t="str">
        <f aca="false">IF(AND(B373=4,M373=1),IF(N373&lt;0.8,"Subgrupo 7 dias; fronteira de cluster","Subgrupo 7 dias"),IF(N373&lt;0.8,"Fronteira de cluster",""))</f>
        <v/>
      </c>
    </row>
    <row r="374" customFormat="false" ht="15" hidden="false" customHeight="false" outlineLevel="0" collapsed="false">
      <c r="A374" s="14" t="n">
        <v>373</v>
      </c>
      <c r="B374" s="14" t="n">
        <v>1</v>
      </c>
      <c r="C374" s="14" t="s">
        <v>30</v>
      </c>
      <c r="D374" s="15" t="n">
        <v>4530.50321750322</v>
      </c>
      <c r="E374" s="16" t="n">
        <f aca="false">INDEX(Parâmetros!$C$33:$C$37,MATCH(B374,Parâmetros!$A$33:$A$37,0))</f>
        <v>6959.92435130262</v>
      </c>
      <c r="F374" s="7" t="n">
        <f aca="false">MAX(0,(E374-D374)/D374)</f>
        <v>0.536236487905701</v>
      </c>
      <c r="G374" s="7" t="n">
        <f aca="false">MIN(K374*Parâmetros!$B$19,Parâmetros!$B$8)</f>
        <v>0.187981661828819</v>
      </c>
      <c r="H374" s="3" t="str">
        <f aca="false">IF(F374&gt;=Parâmetros!$B$6,"Ação","Acompanhamento")</f>
        <v>Ação</v>
      </c>
      <c r="I374" s="17" t="n">
        <v>301.066878980892</v>
      </c>
      <c r="J374" s="11" t="n">
        <f aca="false">D374*I374</f>
        <v>1363984.46390658</v>
      </c>
      <c r="K374" s="7" t="n">
        <f aca="false">Parâmetros!$B$4+Parâmetros!$B$5*F374</f>
        <v>0.154059121976425</v>
      </c>
      <c r="L374" s="11" t="n">
        <f aca="false">D374*(1+G374)</f>
        <v>5382.15474125028</v>
      </c>
      <c r="M374" s="14" t="n">
        <v>0</v>
      </c>
      <c r="N374" s="4" t="n">
        <v>1</v>
      </c>
      <c r="O374" s="3" t="str">
        <f aca="false">IF(AND(B374=4,M374=1),IF(N374&lt;0.8,"Subgrupo 7 dias; fronteira de cluster","Subgrupo 7 dias"),IF(N374&lt;0.8,"Fronteira de cluster",""))</f>
        <v/>
      </c>
    </row>
    <row r="375" customFormat="false" ht="15" hidden="false" customHeight="false" outlineLevel="0" collapsed="false">
      <c r="A375" s="14" t="n">
        <v>374</v>
      </c>
      <c r="B375" s="14" t="n">
        <v>0</v>
      </c>
      <c r="C375" s="14" t="s">
        <v>29</v>
      </c>
      <c r="D375" s="15" t="n">
        <v>7009.67346938776</v>
      </c>
      <c r="E375" s="16" t="n">
        <f aca="false">INDEX(Parâmetros!$C$33:$C$37,MATCH(B375,Parâmetros!$A$33:$A$37,0))</f>
        <v>5476.37033462034</v>
      </c>
      <c r="F375" s="7" t="n">
        <f aca="false">MAX(0,(E375-D375)/D375)</f>
        <v>0</v>
      </c>
      <c r="G375" s="7" t="n">
        <f aca="false">MIN(K375*Parâmetros!$B$19,Parâmetros!$B$8)</f>
        <v>0.0244038339849275</v>
      </c>
      <c r="H375" s="3" t="str">
        <f aca="false">IF(F375&gt;=Parâmetros!$B$6,"Ação","Acompanhamento")</f>
        <v>Acompanhamento</v>
      </c>
      <c r="I375" s="17" t="n">
        <v>303.779193205945</v>
      </c>
      <c r="J375" s="11" t="n">
        <f aca="false">D375*I375</f>
        <v>2129392.95116773</v>
      </c>
      <c r="K375" s="7" t="n">
        <f aca="false">Parâmetros!$B$4+Parâmetros!$B$5*F375</f>
        <v>0.02</v>
      </c>
      <c r="L375" s="11" t="n">
        <f aca="false">D375*(1+G375)</f>
        <v>7180.73637702325</v>
      </c>
      <c r="M375" s="14" t="n">
        <v>0</v>
      </c>
      <c r="N375" s="4" t="n">
        <v>1</v>
      </c>
      <c r="O375" s="3" t="str">
        <f aca="false">IF(AND(B375=4,M375=1),IF(N375&lt;0.8,"Subgrupo 7 dias; fronteira de cluster","Subgrupo 7 dias"),IF(N375&lt;0.8,"Fronteira de cluster",""))</f>
        <v/>
      </c>
    </row>
    <row r="376" customFormat="false" ht="15" hidden="false" customHeight="false" outlineLevel="0" collapsed="false">
      <c r="A376" s="14" t="n">
        <v>375</v>
      </c>
      <c r="B376" s="14" t="n">
        <v>3</v>
      </c>
      <c r="C376" s="14" t="s">
        <v>32</v>
      </c>
      <c r="D376" s="15" t="n">
        <v>9164.38461538462</v>
      </c>
      <c r="E376" s="16" t="n">
        <f aca="false">INDEX(Parâmetros!$C$33:$C$37,MATCH(B376,Parâmetros!$A$33:$A$37,0))</f>
        <v>5909.24487179487</v>
      </c>
      <c r="F376" s="7" t="n">
        <f aca="false">MAX(0,(E376-D376)/D376)</f>
        <v>0</v>
      </c>
      <c r="G376" s="7" t="n">
        <f aca="false">MIN(K376*Parâmetros!$B$19,Parâmetros!$B$8)</f>
        <v>0.0244038339849275</v>
      </c>
      <c r="H376" s="3" t="str">
        <f aca="false">IF(F376&gt;=Parâmetros!$B$6,"Ação","Acompanhamento")</f>
        <v>Acompanhamento</v>
      </c>
      <c r="I376" s="17" t="n">
        <v>302.229299363057</v>
      </c>
      <c r="J376" s="11" t="n">
        <f aca="false">D376*I376</f>
        <v>2769745.54140127</v>
      </c>
      <c r="K376" s="7" t="n">
        <f aca="false">Parâmetros!$B$4+Parâmetros!$B$5*F376</f>
        <v>0.02</v>
      </c>
      <c r="L376" s="11" t="n">
        <f aca="false">D376*(1+G376)</f>
        <v>9388.03073611249</v>
      </c>
      <c r="M376" s="14" t="n">
        <v>0</v>
      </c>
      <c r="N376" s="4" t="n">
        <v>1</v>
      </c>
      <c r="O376" s="3" t="str">
        <f aca="false">IF(AND(B376=4,M376=1),IF(N376&lt;0.8,"Subgrupo 7 dias; fronteira de cluster","Subgrupo 7 dias"),IF(N376&lt;0.8,"Fronteira de cluster",""))</f>
        <v/>
      </c>
    </row>
    <row r="377" customFormat="false" ht="15" hidden="false" customHeight="false" outlineLevel="0" collapsed="false">
      <c r="A377" s="14" t="n">
        <v>376</v>
      </c>
      <c r="B377" s="14" t="n">
        <v>0</v>
      </c>
      <c r="C377" s="14" t="s">
        <v>29</v>
      </c>
      <c r="D377" s="15" t="n">
        <v>8460.12015503876</v>
      </c>
      <c r="E377" s="16" t="n">
        <f aca="false">INDEX(Parâmetros!$C$33:$C$37,MATCH(B377,Parâmetros!$A$33:$A$37,0))</f>
        <v>5476.37033462034</v>
      </c>
      <c r="F377" s="7" t="n">
        <f aca="false">MAX(0,(E377-D377)/D377)</f>
        <v>0</v>
      </c>
      <c r="G377" s="7" t="n">
        <f aca="false">MIN(K377*Parâmetros!$B$19,Parâmetros!$B$8)</f>
        <v>0.0244038339849275</v>
      </c>
      <c r="H377" s="3" t="str">
        <f aca="false">IF(F377&gt;=Parâmetros!$B$6,"Ação","Acompanhamento")</f>
        <v>Acompanhamento</v>
      </c>
      <c r="I377" s="17" t="n">
        <v>299.904458598726</v>
      </c>
      <c r="J377" s="11" t="n">
        <f aca="false">D377*I377</f>
        <v>2537227.75477707</v>
      </c>
      <c r="K377" s="7" t="n">
        <f aca="false">Parâmetros!$B$4+Parâmetros!$B$5*F377</f>
        <v>0.02</v>
      </c>
      <c r="L377" s="11" t="n">
        <f aca="false">D377*(1+G377)</f>
        <v>8666.57952279486</v>
      </c>
      <c r="M377" s="14" t="n">
        <v>0</v>
      </c>
      <c r="N377" s="4" t="n">
        <v>0.963855421686747</v>
      </c>
      <c r="O377" s="3" t="str">
        <f aca="false">IF(AND(B377=4,M377=1),IF(N377&lt;0.8,"Subgrupo 7 dias; fronteira de cluster","Subgrupo 7 dias"),IF(N377&lt;0.8,"Fronteira de cluster",""))</f>
        <v/>
      </c>
    </row>
    <row r="378" customFormat="false" ht="15" hidden="false" customHeight="false" outlineLevel="0" collapsed="false">
      <c r="A378" s="14" t="n">
        <v>377</v>
      </c>
      <c r="B378" s="14" t="n">
        <v>2</v>
      </c>
      <c r="C378" s="14" t="s">
        <v>31</v>
      </c>
      <c r="D378" s="15" t="n">
        <v>7818.52678571429</v>
      </c>
      <c r="E378" s="16" t="n">
        <f aca="false">INDEX(Parâmetros!$C$33:$C$37,MATCH(B378,Parâmetros!$A$33:$A$37,0))</f>
        <v>6324.80102695764</v>
      </c>
      <c r="F378" s="7" t="n">
        <f aca="false">MAX(0,(E378-D378)/D378)</f>
        <v>0</v>
      </c>
      <c r="G378" s="7" t="n">
        <f aca="false">MIN(K378*Parâmetros!$B$19,Parâmetros!$B$8)</f>
        <v>0.0244038339849275</v>
      </c>
      <c r="H378" s="3" t="str">
        <f aca="false">IF(F378&gt;=Parâmetros!$B$6,"Ação","Acompanhamento")</f>
        <v>Acompanhamento</v>
      </c>
      <c r="I378" s="17" t="n">
        <v>303.779193205945</v>
      </c>
      <c r="J378" s="11" t="n">
        <f aca="false">D378*I378</f>
        <v>2375105.75902335</v>
      </c>
      <c r="K378" s="7" t="n">
        <f aca="false">Parâmetros!$B$4+Parâmetros!$B$5*F378</f>
        <v>0.02</v>
      </c>
      <c r="L378" s="11" t="n">
        <f aca="false">D378*(1+G378)</f>
        <v>8009.32881539957</v>
      </c>
      <c r="M378" s="14" t="n">
        <v>0</v>
      </c>
      <c r="N378" s="4" t="n">
        <v>0.880952380952381</v>
      </c>
      <c r="O378" s="3" t="str">
        <f aca="false">IF(AND(B378=4,M378=1),IF(N378&lt;0.8,"Subgrupo 7 dias; fronteira de cluster","Subgrupo 7 dias"),IF(N378&lt;0.8,"Fronteira de cluster",""))</f>
        <v/>
      </c>
    </row>
    <row r="379" customFormat="false" ht="15" hidden="false" customHeight="false" outlineLevel="0" collapsed="false">
      <c r="A379" s="14" t="n">
        <v>378</v>
      </c>
      <c r="B379" s="14" t="n">
        <v>2</v>
      </c>
      <c r="C379" s="14" t="s">
        <v>31</v>
      </c>
      <c r="D379" s="15" t="n">
        <v>6324.80102695764</v>
      </c>
      <c r="E379" s="16" t="n">
        <f aca="false">INDEX(Parâmetros!$C$33:$C$37,MATCH(B379,Parâmetros!$A$33:$A$37,0))</f>
        <v>6324.80102695764</v>
      </c>
      <c r="F379" s="7" t="n">
        <f aca="false">MAX(0,(E379-D379)/D379)</f>
        <v>0</v>
      </c>
      <c r="G379" s="7" t="n">
        <f aca="false">MIN(K379*Parâmetros!$B$19,Parâmetros!$B$8)</f>
        <v>0.0244038339849275</v>
      </c>
      <c r="H379" s="3" t="str">
        <f aca="false">IF(F379&gt;=Parâmetros!$B$6,"Ação","Acompanhamento")</f>
        <v>Acompanhamento</v>
      </c>
      <c r="I379" s="17" t="n">
        <v>301.841825902336</v>
      </c>
      <c r="J379" s="11" t="n">
        <f aca="false">D379*I379</f>
        <v>1909089.49044586</v>
      </c>
      <c r="K379" s="7" t="n">
        <f aca="false">Parâmetros!$B$4+Parâmetros!$B$5*F379</f>
        <v>0.02</v>
      </c>
      <c r="L379" s="11" t="n">
        <f aca="false">D379*(1+G379)</f>
        <v>6479.15042120721</v>
      </c>
      <c r="M379" s="14" t="n">
        <v>0</v>
      </c>
      <c r="N379" s="4" t="n">
        <v>1</v>
      </c>
      <c r="O379" s="3" t="str">
        <f aca="false">IF(AND(B379=4,M379=1),IF(N379&lt;0.8,"Subgrupo 7 dias; fronteira de cluster","Subgrupo 7 dias"),IF(N379&lt;0.8,"Fronteira de cluster",""))</f>
        <v/>
      </c>
    </row>
    <row r="380" customFormat="false" ht="15" hidden="false" customHeight="false" outlineLevel="0" collapsed="false">
      <c r="A380" s="14" t="n">
        <v>379</v>
      </c>
      <c r="B380" s="14" t="n">
        <v>0</v>
      </c>
      <c r="C380" s="14" t="s">
        <v>29</v>
      </c>
      <c r="D380" s="15" t="n">
        <v>3902.22066326531</v>
      </c>
      <c r="E380" s="16" t="n">
        <f aca="false">INDEX(Parâmetros!$C$33:$C$37,MATCH(B380,Parâmetros!$A$33:$A$37,0))</f>
        <v>5476.37033462034</v>
      </c>
      <c r="F380" s="7" t="n">
        <f aca="false">MAX(0,(E380-D380)/D380)</f>
        <v>0.403398425459059</v>
      </c>
      <c r="G380" s="7" t="n">
        <f aca="false">MIN(K380*Parâmetros!$B$19,Parâmetros!$B$8)</f>
        <v>0.147459686543478</v>
      </c>
      <c r="H380" s="3" t="str">
        <f aca="false">IF(F380&gt;=Parâmetros!$B$6,"Ação","Acompanhamento")</f>
        <v>Ação</v>
      </c>
      <c r="I380" s="17" t="n">
        <v>303.779193205945</v>
      </c>
      <c r="J380" s="11" t="n">
        <f aca="false">D380*I380</f>
        <v>1185413.4447983</v>
      </c>
      <c r="K380" s="7" t="n">
        <f aca="false">Parâmetros!$B$4+Parâmetros!$B$5*F380</f>
        <v>0.120849606364765</v>
      </c>
      <c r="L380" s="11" t="n">
        <f aca="false">D380*(1+G380)</f>
        <v>4477.64089909389</v>
      </c>
      <c r="M380" s="14" t="n">
        <v>0</v>
      </c>
      <c r="N380" s="4" t="n">
        <v>1</v>
      </c>
      <c r="O380" s="3" t="str">
        <f aca="false">IF(AND(B380=4,M380=1),IF(N380&lt;0.8,"Subgrupo 7 dias; fronteira de cluster","Subgrupo 7 dias"),IF(N380&lt;0.8,"Fronteira de cluster",""))</f>
        <v/>
      </c>
    </row>
    <row r="381" customFormat="false" ht="15" hidden="false" customHeight="false" outlineLevel="0" collapsed="false">
      <c r="A381" s="14" t="n">
        <v>380</v>
      </c>
      <c r="B381" s="14" t="n">
        <v>4</v>
      </c>
      <c r="C381" s="14" t="s">
        <v>33</v>
      </c>
      <c r="D381" s="15" t="n">
        <v>14456.5802310655</v>
      </c>
      <c r="E381" s="16" t="n">
        <f aca="false">INDEX(Parâmetros!$C$33:$C$37,MATCH(B381,Parâmetros!$A$33:$A$37,0))</f>
        <v>8837.10512820513</v>
      </c>
      <c r="F381" s="7" t="n">
        <f aca="false">MAX(0,(E381-D381)/D381)</f>
        <v>0</v>
      </c>
      <c r="G381" s="7" t="n">
        <f aca="false">MIN(K381*Parâmetros!$B$19,Parâmetros!$B$8)</f>
        <v>0.0244038339849275</v>
      </c>
      <c r="H381" s="3" t="str">
        <f aca="false">IF(F381&gt;=Parâmetros!$B$6,"Ação","Acompanhamento")</f>
        <v>Acompanhamento</v>
      </c>
      <c r="I381" s="17" t="n">
        <v>301.841825902336</v>
      </c>
      <c r="J381" s="11" t="n">
        <f aca="false">D381*I381</f>
        <v>4363600.57324841</v>
      </c>
      <c r="K381" s="7" t="n">
        <f aca="false">Parâmetros!$B$4+Parâmetros!$B$5*F381</f>
        <v>0.02</v>
      </c>
      <c r="L381" s="11" t="n">
        <f aca="false">D381*(1+G381)</f>
        <v>14809.3762150142</v>
      </c>
      <c r="M381" s="14" t="n">
        <v>0</v>
      </c>
      <c r="N381" s="4" t="n">
        <v>0.911392405063291</v>
      </c>
      <c r="O381" s="3" t="str">
        <f aca="false">IF(AND(B381=4,M381=1),IF(N381&lt;0.8,"Subgrupo 7 dias; fronteira de cluster","Subgrupo 7 dias"),IF(N381&lt;0.8,"Fronteira de cluster",""))</f>
        <v/>
      </c>
    </row>
    <row r="382" customFormat="false" ht="15" hidden="false" customHeight="false" outlineLevel="0" collapsed="false">
      <c r="A382" s="14" t="n">
        <v>381</v>
      </c>
      <c r="B382" s="14" t="n">
        <v>1</v>
      </c>
      <c r="C382" s="14" t="s">
        <v>30</v>
      </c>
      <c r="D382" s="15" t="n">
        <v>9001.55512820513</v>
      </c>
      <c r="E382" s="16" t="n">
        <f aca="false">INDEX(Parâmetros!$C$33:$C$37,MATCH(B382,Parâmetros!$A$33:$A$37,0))</f>
        <v>6959.92435130262</v>
      </c>
      <c r="F382" s="7" t="n">
        <f aca="false">MAX(0,(E382-D382)/D382)</f>
        <v>0</v>
      </c>
      <c r="G382" s="7" t="n">
        <f aca="false">MIN(K382*Parâmetros!$B$19,Parâmetros!$B$8)</f>
        <v>0.0244038339849275</v>
      </c>
      <c r="H382" s="3" t="str">
        <f aca="false">IF(F382&gt;=Parâmetros!$B$6,"Ação","Acompanhamento")</f>
        <v>Acompanhamento</v>
      </c>
      <c r="I382" s="17" t="n">
        <v>302.229299363057</v>
      </c>
      <c r="J382" s="11" t="n">
        <f aca="false">D382*I382</f>
        <v>2720533.69957537</v>
      </c>
      <c r="K382" s="7" t="n">
        <f aca="false">Parâmetros!$B$4+Parâmetros!$B$5*F382</f>
        <v>0.02</v>
      </c>
      <c r="L382" s="11" t="n">
        <f aca="false">D382*(1+G382)</f>
        <v>9221.22758516002</v>
      </c>
      <c r="M382" s="14" t="n">
        <v>0</v>
      </c>
      <c r="N382" s="4" t="n">
        <v>0.453333333333333</v>
      </c>
      <c r="O382" s="3" t="str">
        <f aca="false">IF(AND(B382=4,M382=1),IF(N382&lt;0.8,"Subgrupo 7 dias; fronteira de cluster","Subgrupo 7 dias"),IF(N382&lt;0.8,"Fronteira de cluster",""))</f>
        <v>Fronteira de cluster</v>
      </c>
    </row>
    <row r="383" customFormat="false" ht="15" hidden="false" customHeight="false" outlineLevel="0" collapsed="false">
      <c r="A383" s="14" t="n">
        <v>382</v>
      </c>
      <c r="B383" s="14" t="n">
        <v>1</v>
      </c>
      <c r="C383" s="14" t="s">
        <v>30</v>
      </c>
      <c r="D383" s="15" t="n">
        <v>7985.84743589744</v>
      </c>
      <c r="E383" s="16" t="n">
        <f aca="false">INDEX(Parâmetros!$C$33:$C$37,MATCH(B383,Parâmetros!$A$33:$A$37,0))</f>
        <v>6959.92435130262</v>
      </c>
      <c r="F383" s="7" t="n">
        <f aca="false">MAX(0,(E383-D383)/D383)</f>
        <v>0</v>
      </c>
      <c r="G383" s="7" t="n">
        <f aca="false">MIN(K383*Parâmetros!$B$19,Parâmetros!$B$8)</f>
        <v>0.0244038339849275</v>
      </c>
      <c r="H383" s="3" t="str">
        <f aca="false">IF(F383&gt;=Parâmetros!$B$6,"Ação","Acompanhamento")</f>
        <v>Acompanhamento</v>
      </c>
      <c r="I383" s="17" t="n">
        <v>302.229299363057</v>
      </c>
      <c r="J383" s="11" t="n">
        <f aca="false">D383*I383</f>
        <v>2413557.07537155</v>
      </c>
      <c r="K383" s="7" t="n">
        <f aca="false">Parâmetros!$B$4+Parâmetros!$B$5*F383</f>
        <v>0.02</v>
      </c>
      <c r="L383" s="11" t="n">
        <f aca="false">D383*(1+G383)</f>
        <v>8180.73273095204</v>
      </c>
      <c r="M383" s="14" t="n">
        <v>0</v>
      </c>
      <c r="N383" s="4" t="n">
        <v>0.909090909090909</v>
      </c>
      <c r="O383" s="3" t="str">
        <f aca="false">IF(AND(B383=4,M383=1),IF(N383&lt;0.8,"Subgrupo 7 dias; fronteira de cluster","Subgrupo 7 dias"),IF(N383&lt;0.8,"Fronteira de cluster",""))</f>
        <v/>
      </c>
    </row>
    <row r="384" customFormat="false" ht="15" hidden="false" customHeight="false" outlineLevel="0" collapsed="false">
      <c r="A384" s="14" t="n">
        <v>383</v>
      </c>
      <c r="B384" s="14" t="n">
        <v>4</v>
      </c>
      <c r="C384" s="14" t="s">
        <v>33</v>
      </c>
      <c r="D384" s="15" t="n">
        <v>17294.7166666667</v>
      </c>
      <c r="E384" s="16" t="n">
        <f aca="false">INDEX(Parâmetros!$C$33:$C$37,MATCH(B384,Parâmetros!$A$33:$A$37,0))</f>
        <v>8837.10512820513</v>
      </c>
      <c r="F384" s="7" t="n">
        <f aca="false">MAX(0,(E384-D384)/D384)</f>
        <v>0</v>
      </c>
      <c r="G384" s="7" t="n">
        <f aca="false">MIN(K384*Parâmetros!$B$19,Parâmetros!$B$8)</f>
        <v>0.0244038339849275</v>
      </c>
      <c r="H384" s="3" t="str">
        <f aca="false">IF(F384&gt;=Parâmetros!$B$6,"Ação","Acompanhamento")</f>
        <v>Acompanhamento</v>
      </c>
      <c r="I384" s="17" t="n">
        <v>302.229299363057</v>
      </c>
      <c r="J384" s="11" t="n">
        <f aca="false">D384*I384</f>
        <v>5226970.10084926</v>
      </c>
      <c r="K384" s="7" t="n">
        <f aca="false">Parâmetros!$B$4+Parâmetros!$B$5*F384</f>
        <v>0.02</v>
      </c>
      <c r="L384" s="11" t="n">
        <f aca="false">D384*(1+G384)</f>
        <v>17716.7740610164</v>
      </c>
      <c r="M384" s="14" t="n">
        <v>0</v>
      </c>
      <c r="N384" s="4" t="n">
        <v>1</v>
      </c>
      <c r="O384" s="3" t="str">
        <f aca="false">IF(AND(B384=4,M384=1),IF(N384&lt;0.8,"Subgrupo 7 dias; fronteira de cluster","Subgrupo 7 dias"),IF(N384&lt;0.8,"Fronteira de cluster",""))</f>
        <v/>
      </c>
    </row>
    <row r="385" customFormat="false" ht="15" hidden="false" customHeight="false" outlineLevel="0" collapsed="false">
      <c r="A385" s="14" t="n">
        <v>384</v>
      </c>
      <c r="B385" s="14" t="n">
        <v>2</v>
      </c>
      <c r="C385" s="14" t="s">
        <v>31</v>
      </c>
      <c r="D385" s="15" t="n">
        <v>8871.57544757033</v>
      </c>
      <c r="E385" s="16" t="n">
        <f aca="false">INDEX(Parâmetros!$C$33:$C$37,MATCH(B385,Parâmetros!$A$33:$A$37,0))</f>
        <v>6324.80102695764</v>
      </c>
      <c r="F385" s="7" t="n">
        <f aca="false">MAX(0,(E385-D385)/D385)</f>
        <v>0</v>
      </c>
      <c r="G385" s="7" t="n">
        <f aca="false">MIN(K385*Parâmetros!$B$19,Parâmetros!$B$8)</f>
        <v>0.0244038339849275</v>
      </c>
      <c r="H385" s="3" t="str">
        <f aca="false">IF(F385&gt;=Parâmetros!$B$6,"Ação","Acompanhamento")</f>
        <v>Acompanhamento</v>
      </c>
      <c r="I385" s="17" t="n">
        <v>303.004246284501</v>
      </c>
      <c r="J385" s="11" t="n">
        <f aca="false">D385*I385</f>
        <v>2688125.03184713</v>
      </c>
      <c r="K385" s="7" t="n">
        <f aca="false">Parâmetros!$B$4+Parâmetros!$B$5*F385</f>
        <v>0.02</v>
      </c>
      <c r="L385" s="11" t="n">
        <f aca="false">D385*(1+G385)</f>
        <v>9088.0759019776</v>
      </c>
      <c r="M385" s="14" t="n">
        <v>0</v>
      </c>
      <c r="N385" s="4" t="n">
        <v>0.948717948717949</v>
      </c>
      <c r="O385" s="3" t="str">
        <f aca="false">IF(AND(B385=4,M385=1),IF(N385&lt;0.8,"Subgrupo 7 dias; fronteira de cluster","Subgrupo 7 dias"),IF(N385&lt;0.8,"Fronteira de cluster",""))</f>
        <v/>
      </c>
    </row>
    <row r="386" customFormat="false" ht="15" hidden="false" customHeight="false" outlineLevel="0" collapsed="false">
      <c r="A386" s="14" t="n">
        <v>385</v>
      </c>
      <c r="B386" s="14" t="n">
        <v>1</v>
      </c>
      <c r="C386" s="14" t="s">
        <v>30</v>
      </c>
      <c r="D386" s="15" t="n">
        <v>7348.5192926045</v>
      </c>
      <c r="E386" s="16" t="n">
        <f aca="false">INDEX(Parâmetros!$C$33:$C$37,MATCH(B386,Parâmetros!$A$33:$A$37,0))</f>
        <v>6959.92435130262</v>
      </c>
      <c r="F386" s="7" t="n">
        <f aca="false">MAX(0,(E386-D386)/D386)</f>
        <v>0</v>
      </c>
      <c r="G386" s="7" t="n">
        <f aca="false">MIN(K386*Parâmetros!$B$19,Parâmetros!$B$8)</f>
        <v>0.0244038339849275</v>
      </c>
      <c r="H386" s="3" t="str">
        <f aca="false">IF(F386&gt;=Parâmetros!$B$6,"Ação","Acompanhamento")</f>
        <v>Acompanhamento</v>
      </c>
      <c r="I386" s="17" t="n">
        <v>299.511873350924</v>
      </c>
      <c r="J386" s="11" t="n">
        <f aca="false">D386*I386</f>
        <v>2200968.77968338</v>
      </c>
      <c r="K386" s="7" t="n">
        <f aca="false">Parâmetros!$B$4+Parâmetros!$B$5*F386</f>
        <v>0.02</v>
      </c>
      <c r="L386" s="11" t="n">
        <f aca="false">D386*(1+G386)</f>
        <v>7527.85133745626</v>
      </c>
      <c r="M386" s="14" t="n">
        <v>0</v>
      </c>
      <c r="N386" s="4" t="n">
        <v>1</v>
      </c>
      <c r="O386" s="3" t="str">
        <f aca="false">IF(AND(B386=4,M386=1),IF(N386&lt;0.8,"Subgrupo 7 dias; fronteira de cluster","Subgrupo 7 dias"),IF(N386&lt;0.8,"Fronteira de cluster",""))</f>
        <v/>
      </c>
    </row>
    <row r="387" customFormat="false" ht="15" hidden="false" customHeight="false" outlineLevel="0" collapsed="false">
      <c r="A387" s="14" t="n">
        <v>386</v>
      </c>
      <c r="B387" s="14" t="n">
        <v>1</v>
      </c>
      <c r="C387" s="14" t="s">
        <v>30</v>
      </c>
      <c r="D387" s="15" t="n">
        <v>8029.54172015404</v>
      </c>
      <c r="E387" s="16" t="n">
        <f aca="false">INDEX(Parâmetros!$C$33:$C$37,MATCH(B387,Parâmetros!$A$33:$A$37,0))</f>
        <v>6959.92435130262</v>
      </c>
      <c r="F387" s="7" t="n">
        <f aca="false">MAX(0,(E387-D387)/D387)</f>
        <v>0</v>
      </c>
      <c r="G387" s="7" t="n">
        <f aca="false">MIN(K387*Parâmetros!$B$19,Parâmetros!$B$8)</f>
        <v>0.0244038339849275</v>
      </c>
      <c r="H387" s="3" t="str">
        <f aca="false">IF(F387&gt;=Parâmetros!$B$6,"Ação","Acompanhamento")</f>
        <v>Acompanhamento</v>
      </c>
      <c r="I387" s="17" t="n">
        <v>301.841825902336</v>
      </c>
      <c r="J387" s="11" t="n">
        <f aca="false">D387*I387</f>
        <v>2423651.53397028</v>
      </c>
      <c r="K387" s="7" t="n">
        <f aca="false">Parâmetros!$B$4+Parâmetros!$B$5*F387</f>
        <v>0.02</v>
      </c>
      <c r="L387" s="11" t="n">
        <f aca="false">D387*(1+G387)</f>
        <v>8225.49332326773</v>
      </c>
      <c r="M387" s="14" t="n">
        <v>0</v>
      </c>
      <c r="N387" s="4" t="n">
        <v>1</v>
      </c>
      <c r="O387" s="3" t="str">
        <f aca="false">IF(AND(B387=4,M387=1),IF(N387&lt;0.8,"Subgrupo 7 dias; fronteira de cluster","Subgrupo 7 dias"),IF(N387&lt;0.8,"Fronteira de cluster",""))</f>
        <v/>
      </c>
    </row>
    <row r="388" customFormat="false" ht="15" hidden="false" customHeight="false" outlineLevel="0" collapsed="false">
      <c r="A388" s="14" t="n">
        <v>387</v>
      </c>
      <c r="B388" s="14" t="n">
        <v>0</v>
      </c>
      <c r="C388" s="14" t="s">
        <v>29</v>
      </c>
      <c r="D388" s="15" t="n">
        <v>9374.82875816994</v>
      </c>
      <c r="E388" s="16" t="n">
        <f aca="false">INDEX(Parâmetros!$C$33:$C$37,MATCH(B388,Parâmetros!$A$33:$A$37,0))</f>
        <v>5476.37033462034</v>
      </c>
      <c r="F388" s="7" t="n">
        <f aca="false">MAX(0,(E388-D388)/D388)</f>
        <v>0</v>
      </c>
      <c r="G388" s="7" t="n">
        <f aca="false">MIN(K388*Parâmetros!$B$19,Parâmetros!$B$8)</f>
        <v>0.0244038339849275</v>
      </c>
      <c r="H388" s="3" t="str">
        <f aca="false">IF(F388&gt;=Parâmetros!$B$6,"Ação","Acompanhamento")</f>
        <v>Acompanhamento</v>
      </c>
      <c r="I388" s="17" t="n">
        <v>296.804670912951</v>
      </c>
      <c r="J388" s="11" t="n">
        <f aca="false">D388*I388</f>
        <v>2782492.9644339</v>
      </c>
      <c r="K388" s="7" t="n">
        <f aca="false">Parâmetros!$B$4+Parâmetros!$B$5*F388</f>
        <v>0.02</v>
      </c>
      <c r="L388" s="11" t="n">
        <f aca="false">D388*(1+G388)</f>
        <v>9603.61052282144</v>
      </c>
      <c r="M388" s="14" t="n">
        <v>0</v>
      </c>
      <c r="N388" s="4" t="n">
        <v>0.947368421052632</v>
      </c>
      <c r="O388" s="3" t="str">
        <f aca="false">IF(AND(B388=4,M388=1),IF(N388&lt;0.8,"Subgrupo 7 dias; fronteira de cluster","Subgrupo 7 dias"),IF(N388&lt;0.8,"Fronteira de cluster",""))</f>
        <v/>
      </c>
    </row>
    <row r="389" customFormat="false" ht="15" hidden="false" customHeight="false" outlineLevel="0" collapsed="false">
      <c r="A389" s="14" t="n">
        <v>388</v>
      </c>
      <c r="B389" s="14" t="n">
        <v>4</v>
      </c>
      <c r="C389" s="14" t="s">
        <v>33</v>
      </c>
      <c r="D389" s="15" t="n">
        <v>10257.9204107831</v>
      </c>
      <c r="E389" s="16" t="n">
        <f aca="false">INDEX(Parâmetros!$C$33:$C$37,MATCH(B389,Parâmetros!$A$33:$A$37,0))</f>
        <v>8837.10512820513</v>
      </c>
      <c r="F389" s="7" t="n">
        <f aca="false">MAX(0,(E389-D389)/D389)</f>
        <v>0</v>
      </c>
      <c r="G389" s="7" t="n">
        <f aca="false">MIN(K389*Parâmetros!$B$19,Parâmetros!$B$8)</f>
        <v>0.0244038339849275</v>
      </c>
      <c r="H389" s="3" t="str">
        <f aca="false">IF(F389&gt;=Parâmetros!$B$6,"Ação","Acompanhamento")</f>
        <v>Acompanhamento</v>
      </c>
      <c r="I389" s="17" t="n">
        <v>301.841825902336</v>
      </c>
      <c r="J389" s="11" t="n">
        <f aca="false">D389*I389</f>
        <v>3096269.42675159</v>
      </c>
      <c r="K389" s="7" t="n">
        <f aca="false">Parâmetros!$B$4+Parâmetros!$B$5*F389</f>
        <v>0.02</v>
      </c>
      <c r="L389" s="11" t="n">
        <f aca="false">D389*(1+G389)</f>
        <v>10508.2529975184</v>
      </c>
      <c r="M389" s="14" t="n">
        <v>0</v>
      </c>
      <c r="N389" s="4" t="n">
        <v>0.929577464788732</v>
      </c>
      <c r="O389" s="3" t="str">
        <f aca="false">IF(AND(B389=4,M389=1),IF(N389&lt;0.8,"Subgrupo 7 dias; fronteira de cluster","Subgrupo 7 dias"),IF(N389&lt;0.8,"Fronteira de cluster",""))</f>
        <v/>
      </c>
    </row>
    <row r="390" customFormat="false" ht="15" hidden="false" customHeight="false" outlineLevel="0" collapsed="false">
      <c r="A390" s="14" t="n">
        <v>389</v>
      </c>
      <c r="B390" s="14" t="n">
        <v>4</v>
      </c>
      <c r="C390" s="14" t="s">
        <v>33</v>
      </c>
      <c r="D390" s="15" t="n">
        <v>10337.4017857143</v>
      </c>
      <c r="E390" s="16" t="n">
        <f aca="false">INDEX(Parâmetros!$C$33:$C$37,MATCH(B390,Parâmetros!$A$33:$A$37,0))</f>
        <v>8837.10512820513</v>
      </c>
      <c r="F390" s="7" t="n">
        <f aca="false">MAX(0,(E390-D390)/D390)</f>
        <v>0</v>
      </c>
      <c r="G390" s="7" t="n">
        <f aca="false">MIN(K390*Parâmetros!$B$19,Parâmetros!$B$8)</f>
        <v>0.0244038339849275</v>
      </c>
      <c r="H390" s="3" t="str">
        <f aca="false">IF(F390&gt;=Parâmetros!$B$6,"Ação","Acompanhamento")</f>
        <v>Acompanhamento</v>
      </c>
      <c r="I390" s="17" t="n">
        <v>303.779193205945</v>
      </c>
      <c r="J390" s="11" t="n">
        <f aca="false">D390*I390</f>
        <v>3140287.57430998</v>
      </c>
      <c r="K390" s="7" t="n">
        <f aca="false">Parâmetros!$B$4+Parâmetros!$B$5*F390</f>
        <v>0.02</v>
      </c>
      <c r="L390" s="11" t="n">
        <f aca="false">D390*(1+G390)</f>
        <v>10589.6740227284</v>
      </c>
      <c r="M390" s="14" t="n">
        <v>0</v>
      </c>
      <c r="N390" s="4" t="n">
        <v>1</v>
      </c>
      <c r="O390" s="3" t="str">
        <f aca="false">IF(AND(B390=4,M390=1),IF(N390&lt;0.8,"Subgrupo 7 dias; fronteira de cluster","Subgrupo 7 dias"),IF(N390&lt;0.8,"Fronteira de cluster",""))</f>
        <v/>
      </c>
    </row>
    <row r="391" customFormat="false" ht="15" hidden="false" customHeight="false" outlineLevel="0" collapsed="false">
      <c r="A391" s="14" t="n">
        <v>390</v>
      </c>
      <c r="B391" s="14" t="n">
        <v>4</v>
      </c>
      <c r="C391" s="14" t="s">
        <v>33</v>
      </c>
      <c r="D391" s="15" t="n">
        <v>11568.6564102564</v>
      </c>
      <c r="E391" s="16" t="n">
        <f aca="false">INDEX(Parâmetros!$C$33:$C$37,MATCH(B391,Parâmetros!$A$33:$A$37,0))</f>
        <v>8837.10512820513</v>
      </c>
      <c r="F391" s="7" t="n">
        <f aca="false">MAX(0,(E391-D391)/D391)</f>
        <v>0</v>
      </c>
      <c r="G391" s="7" t="n">
        <f aca="false">MIN(K391*Parâmetros!$B$19,Parâmetros!$B$8)</f>
        <v>0.0244038339849275</v>
      </c>
      <c r="H391" s="3" t="str">
        <f aca="false">IF(F391&gt;=Parâmetros!$B$6,"Ação","Acompanhamento")</f>
        <v>Acompanhamento</v>
      </c>
      <c r="I391" s="17" t="n">
        <v>302.229299363057</v>
      </c>
      <c r="J391" s="11" t="n">
        <f aca="false">D391*I391</f>
        <v>3496386.92144374</v>
      </c>
      <c r="K391" s="7" t="n">
        <f aca="false">Parâmetros!$B$4+Parâmetros!$B$5*F391</f>
        <v>0.02</v>
      </c>
      <c r="L391" s="11" t="n">
        <f aca="false">D391*(1+G391)</f>
        <v>11850.975980721</v>
      </c>
      <c r="M391" s="14" t="n">
        <v>0</v>
      </c>
      <c r="N391" s="4" t="n">
        <v>0.690140845070423</v>
      </c>
      <c r="O391" s="3" t="str">
        <f aca="false">IF(AND(B391=4,M391=1),IF(N391&lt;0.8,"Subgrupo 7 dias; fronteira de cluster","Subgrupo 7 dias"),IF(N391&lt;0.8,"Fronteira de cluster",""))</f>
        <v>Fronteira de cluster</v>
      </c>
    </row>
    <row r="392" customFormat="false" ht="15" hidden="false" customHeight="false" outlineLevel="0" collapsed="false">
      <c r="A392" s="14" t="n">
        <v>391</v>
      </c>
      <c r="B392" s="14" t="n">
        <v>0</v>
      </c>
      <c r="C392" s="14" t="s">
        <v>29</v>
      </c>
      <c r="D392" s="15" t="n">
        <v>5727.01303780965</v>
      </c>
      <c r="E392" s="16" t="n">
        <f aca="false">INDEX(Parâmetros!$C$33:$C$37,MATCH(B392,Parâmetros!$A$33:$A$37,0))</f>
        <v>5476.37033462034</v>
      </c>
      <c r="F392" s="7" t="n">
        <f aca="false">MAX(0,(E392-D392)/D392)</f>
        <v>0</v>
      </c>
      <c r="G392" s="7" t="n">
        <f aca="false">MIN(K392*Parâmetros!$B$19,Parâmetros!$B$8)</f>
        <v>0.0244038339849275</v>
      </c>
      <c r="H392" s="3" t="str">
        <f aca="false">IF(F392&gt;=Parâmetros!$B$6,"Ação","Acompanhamento")</f>
        <v>Acompanhamento</v>
      </c>
      <c r="I392" s="17" t="n">
        <v>297.579617834395</v>
      </c>
      <c r="J392" s="11" t="n">
        <f aca="false">D392*I392</f>
        <v>1704242.35112399</v>
      </c>
      <c r="K392" s="7" t="n">
        <f aca="false">Parâmetros!$B$4+Parâmetros!$B$5*F392</f>
        <v>0.02</v>
      </c>
      <c r="L392" s="11" t="n">
        <f aca="false">D392*(1+G392)</f>
        <v>5866.77411321387</v>
      </c>
      <c r="M392" s="14" t="n">
        <v>0</v>
      </c>
      <c r="N392" s="4" t="n">
        <v>0.987654320987654</v>
      </c>
      <c r="O392" s="3" t="str">
        <f aca="false">IF(AND(B392=4,M392=1),IF(N392&lt;0.8,"Subgrupo 7 dias; fronteira de cluster","Subgrupo 7 dias"),IF(N392&lt;0.8,"Fronteira de cluster",""))</f>
        <v/>
      </c>
    </row>
    <row r="393" customFormat="false" ht="15" hidden="false" customHeight="false" outlineLevel="0" collapsed="false">
      <c r="A393" s="14" t="n">
        <v>392</v>
      </c>
      <c r="B393" s="14" t="n">
        <v>3</v>
      </c>
      <c r="C393" s="14" t="s">
        <v>32</v>
      </c>
      <c r="D393" s="15" t="n">
        <v>7279.42875481386</v>
      </c>
      <c r="E393" s="16" t="n">
        <f aca="false">INDEX(Parâmetros!$C$33:$C$37,MATCH(B393,Parâmetros!$A$33:$A$37,0))</f>
        <v>5909.24487179487</v>
      </c>
      <c r="F393" s="7" t="n">
        <f aca="false">MAX(0,(E393-D393)/D393)</f>
        <v>0</v>
      </c>
      <c r="G393" s="7" t="n">
        <f aca="false">MIN(K393*Parâmetros!$B$19,Parâmetros!$B$8)</f>
        <v>0.0244038339849275</v>
      </c>
      <c r="H393" s="3" t="str">
        <f aca="false">IF(F393&gt;=Parâmetros!$B$6,"Ação","Acompanhamento")</f>
        <v>Acompanhamento</v>
      </c>
      <c r="I393" s="17" t="n">
        <v>301.841825902336</v>
      </c>
      <c r="J393" s="11" t="n">
        <f aca="false">D393*I393</f>
        <v>2197236.06687898</v>
      </c>
      <c r="K393" s="7" t="n">
        <f aca="false">Parâmetros!$B$4+Parâmetros!$B$5*F393</f>
        <v>0.02</v>
      </c>
      <c r="L393" s="11" t="n">
        <f aca="false">D393*(1+G393)</f>
        <v>7457.07472565145</v>
      </c>
      <c r="M393" s="14" t="n">
        <v>0</v>
      </c>
      <c r="N393" s="4" t="n">
        <v>0.8375</v>
      </c>
      <c r="O393" s="3" t="str">
        <f aca="false">IF(AND(B393=4,M393=1),IF(N393&lt;0.8,"Subgrupo 7 dias; fronteira de cluster","Subgrupo 7 dias"),IF(N393&lt;0.8,"Fronteira de cluster",""))</f>
        <v/>
      </c>
    </row>
    <row r="394" customFormat="false" ht="15" hidden="false" customHeight="false" outlineLevel="0" collapsed="false">
      <c r="A394" s="14" t="n">
        <v>393</v>
      </c>
      <c r="B394" s="14" t="n">
        <v>1</v>
      </c>
      <c r="C394" s="14" t="s">
        <v>30</v>
      </c>
      <c r="D394" s="15" t="n">
        <v>5903.06675224647</v>
      </c>
      <c r="E394" s="16" t="n">
        <f aca="false">INDEX(Parâmetros!$C$33:$C$37,MATCH(B394,Parâmetros!$A$33:$A$37,0))</f>
        <v>6959.92435130262</v>
      </c>
      <c r="F394" s="7" t="n">
        <f aca="false">MAX(0,(E394-D394)/D394)</f>
        <v>0.179035346102762</v>
      </c>
      <c r="G394" s="7" t="n">
        <f aca="false">MIN(K394*Parâmetros!$B$19,Parâmetros!$B$8)</f>
        <v>0.0790181947815002</v>
      </c>
      <c r="H394" s="3" t="str">
        <f aca="false">IF(F394&gt;=Parâmetros!$B$6,"Ação","Acompanhamento")</f>
        <v>Ação</v>
      </c>
      <c r="I394" s="17" t="n">
        <v>301.841825902336</v>
      </c>
      <c r="J394" s="11" t="n">
        <f aca="false">D394*I394</f>
        <v>1781792.44692144</v>
      </c>
      <c r="K394" s="7" t="n">
        <f aca="false">Parâmetros!$B$4+Parâmetros!$B$5*F394</f>
        <v>0.0647588365256904</v>
      </c>
      <c r="L394" s="11" t="n">
        <f aca="false">D394*(1+G394)</f>
        <v>6369.51643068368</v>
      </c>
      <c r="M394" s="14" t="n">
        <v>0</v>
      </c>
      <c r="N394" s="4" t="n">
        <v>1</v>
      </c>
      <c r="O394" s="3" t="str">
        <f aca="false">IF(AND(B394=4,M394=1),IF(N394&lt;0.8,"Subgrupo 7 dias; fronteira de cluster","Subgrupo 7 dias"),IF(N394&lt;0.8,"Fronteira de cluster",""))</f>
        <v/>
      </c>
    </row>
    <row r="395" customFormat="false" ht="15" hidden="false" customHeight="false" outlineLevel="0" collapsed="false">
      <c r="A395" s="14" t="n">
        <v>394</v>
      </c>
      <c r="B395" s="14" t="n">
        <v>1</v>
      </c>
      <c r="C395" s="14" t="s">
        <v>30</v>
      </c>
      <c r="D395" s="15" t="n">
        <v>8353.24583866837</v>
      </c>
      <c r="E395" s="16" t="n">
        <f aca="false">INDEX(Parâmetros!$C$33:$C$37,MATCH(B395,Parâmetros!$A$33:$A$37,0))</f>
        <v>6959.92435130262</v>
      </c>
      <c r="F395" s="7" t="n">
        <f aca="false">MAX(0,(E395-D395)/D395)</f>
        <v>0</v>
      </c>
      <c r="G395" s="7" t="n">
        <f aca="false">MIN(K395*Parâmetros!$B$19,Parâmetros!$B$8)</f>
        <v>0.0244038339849275</v>
      </c>
      <c r="H395" s="3" t="str">
        <f aca="false">IF(F395&gt;=Parâmetros!$B$6,"Ação","Acompanhamento")</f>
        <v>Acompanhamento</v>
      </c>
      <c r="I395" s="17" t="n">
        <v>302.616772823779</v>
      </c>
      <c r="J395" s="11" t="n">
        <f aca="false">D395*I395</f>
        <v>2527832.29830149</v>
      </c>
      <c r="K395" s="7" t="n">
        <f aca="false">Parâmetros!$B$4+Parâmetros!$B$5*F395</f>
        <v>0.02</v>
      </c>
      <c r="L395" s="11" t="n">
        <f aca="false">D395*(1+G395)</f>
        <v>8557.09706335052</v>
      </c>
      <c r="M395" s="14" t="n">
        <v>0</v>
      </c>
      <c r="N395" s="4" t="n">
        <v>1</v>
      </c>
      <c r="O395" s="3" t="str">
        <f aca="false">IF(AND(B395=4,M395=1),IF(N395&lt;0.8,"Subgrupo 7 dias; fronteira de cluster","Subgrupo 7 dias"),IF(N395&lt;0.8,"Fronteira de cluster",""))</f>
        <v/>
      </c>
    </row>
    <row r="396" customFormat="false" ht="15" hidden="false" customHeight="false" outlineLevel="0" collapsed="false">
      <c r="A396" s="14" t="n">
        <v>395</v>
      </c>
      <c r="B396" s="14" t="n">
        <v>0</v>
      </c>
      <c r="C396" s="14" t="s">
        <v>29</v>
      </c>
      <c r="D396" s="15" t="n">
        <v>3989.13478818999</v>
      </c>
      <c r="E396" s="16" t="n">
        <f aca="false">INDEX(Parâmetros!$C$33:$C$37,MATCH(B396,Parâmetros!$A$33:$A$37,0))</f>
        <v>5476.37033462034</v>
      </c>
      <c r="F396" s="7" t="n">
        <f aca="false">MAX(0,(E396-D396)/D396)</f>
        <v>0.372821582974177</v>
      </c>
      <c r="G396" s="7" t="n">
        <f aca="false">MIN(K396*Parâmetros!$B$19,Parâmetros!$B$8)</f>
        <v>0.138132284196173</v>
      </c>
      <c r="H396" s="3" t="str">
        <f aca="false">IF(F396&gt;=Parâmetros!$B$6,"Ação","Acompanhamento")</f>
        <v>Ação</v>
      </c>
      <c r="I396" s="17" t="n">
        <v>301.841825902336</v>
      </c>
      <c r="J396" s="11" t="n">
        <f aca="false">D396*I396</f>
        <v>1204087.72823779</v>
      </c>
      <c r="K396" s="7" t="n">
        <f aca="false">Parâmetros!$B$4+Parâmetros!$B$5*F396</f>
        <v>0.113205395743544</v>
      </c>
      <c r="L396" s="11" t="n">
        <f aca="false">D396*(1+G396)</f>
        <v>4540.16308844909</v>
      </c>
      <c r="M396" s="14" t="n">
        <v>0</v>
      </c>
      <c r="N396" s="4" t="n">
        <v>1</v>
      </c>
      <c r="O396" s="3" t="str">
        <f aca="false">IF(AND(B396=4,M396=1),IF(N396&lt;0.8,"Subgrupo 7 dias; fronteira de cluster","Subgrupo 7 dias"),IF(N396&lt;0.8,"Fronteira de cluster",""))</f>
        <v/>
      </c>
    </row>
    <row r="397" customFormat="false" ht="15" hidden="false" customHeight="false" outlineLevel="0" collapsed="false">
      <c r="A397" s="14" t="n">
        <v>396</v>
      </c>
      <c r="B397" s="14" t="n">
        <v>3</v>
      </c>
      <c r="C397" s="14" t="s">
        <v>32</v>
      </c>
      <c r="D397" s="15" t="n">
        <v>10222.0923076923</v>
      </c>
      <c r="E397" s="16" t="n">
        <f aca="false">INDEX(Parâmetros!$C$33:$C$37,MATCH(B397,Parâmetros!$A$33:$A$37,0))</f>
        <v>5909.24487179487</v>
      </c>
      <c r="F397" s="7" t="n">
        <f aca="false">MAX(0,(E397-D397)/D397)</f>
        <v>0</v>
      </c>
      <c r="G397" s="7" t="n">
        <f aca="false">MIN(K397*Parâmetros!$B$19,Parâmetros!$B$8)</f>
        <v>0.0244038339849275</v>
      </c>
      <c r="H397" s="3" t="str">
        <f aca="false">IF(F397&gt;=Parâmetros!$B$6,"Ação","Acompanhamento")</f>
        <v>Acompanhamento</v>
      </c>
      <c r="I397" s="17" t="n">
        <v>302.229299363057</v>
      </c>
      <c r="J397" s="11" t="n">
        <f aca="false">D397*I397</f>
        <v>3089415.79617834</v>
      </c>
      <c r="K397" s="7" t="n">
        <f aca="false">Parâmetros!$B$4+Parâmetros!$B$5*F397</f>
        <v>0.02</v>
      </c>
      <c r="L397" s="11" t="n">
        <f aca="false">D397*(1+G397)</f>
        <v>10471.5505513478</v>
      </c>
      <c r="M397" s="14" t="n">
        <v>0</v>
      </c>
      <c r="N397" s="4" t="n">
        <v>1</v>
      </c>
      <c r="O397" s="3" t="str">
        <f aca="false">IF(AND(B397=4,M397=1),IF(N397&lt;0.8,"Subgrupo 7 dias; fronteira de cluster","Subgrupo 7 dias"),IF(N397&lt;0.8,"Fronteira de cluster",""))</f>
        <v/>
      </c>
    </row>
    <row r="398" customFormat="false" ht="15" hidden="false" customHeight="false" outlineLevel="0" collapsed="false">
      <c r="A398" s="14" t="n">
        <v>397</v>
      </c>
      <c r="B398" s="14" t="n">
        <v>0</v>
      </c>
      <c r="C398" s="14" t="s">
        <v>29</v>
      </c>
      <c r="D398" s="15" t="n">
        <v>5574.88318356868</v>
      </c>
      <c r="E398" s="16" t="n">
        <f aca="false">INDEX(Parâmetros!$C$33:$C$37,MATCH(B398,Parâmetros!$A$33:$A$37,0))</f>
        <v>5476.37033462034</v>
      </c>
      <c r="F398" s="7" t="n">
        <f aca="false">MAX(0,(E398-D398)/D398)</f>
        <v>0</v>
      </c>
      <c r="G398" s="7" t="n">
        <f aca="false">MIN(K398*Parâmetros!$B$19,Parâmetros!$B$8)</f>
        <v>0.0244038339849275</v>
      </c>
      <c r="H398" s="3" t="str">
        <f aca="false">IF(F398&gt;=Parâmetros!$B$6,"Ação","Acompanhamento")</f>
        <v>Acompanhamento</v>
      </c>
      <c r="I398" s="17" t="n">
        <v>301.841825902336</v>
      </c>
      <c r="J398" s="11" t="n">
        <f aca="false">D398*I398</f>
        <v>1682732.91932059</v>
      </c>
      <c r="K398" s="7" t="n">
        <f aca="false">Parâmetros!$B$4+Parâmetros!$B$5*F398</f>
        <v>0.02</v>
      </c>
      <c r="L398" s="11" t="n">
        <f aca="false">D398*(1+G398)</f>
        <v>5710.93170726585</v>
      </c>
      <c r="M398" s="14" t="n">
        <v>0</v>
      </c>
      <c r="N398" s="4" t="n">
        <v>0.961038961038961</v>
      </c>
      <c r="O398" s="3" t="str">
        <f aca="false">IF(AND(B398=4,M398=1),IF(N398&lt;0.8,"Subgrupo 7 dias; fronteira de cluster","Subgrupo 7 dias"),IF(N398&lt;0.8,"Fronteira de cluster",""))</f>
        <v/>
      </c>
    </row>
    <row r="399" customFormat="false" ht="15" hidden="false" customHeight="false" outlineLevel="0" collapsed="false">
      <c r="A399" s="14" t="n">
        <v>398</v>
      </c>
      <c r="B399" s="14" t="n">
        <v>0</v>
      </c>
      <c r="C399" s="14" t="s">
        <v>29</v>
      </c>
      <c r="D399" s="15" t="n">
        <v>5496.52295918367</v>
      </c>
      <c r="E399" s="16" t="n">
        <f aca="false">INDEX(Parâmetros!$C$33:$C$37,MATCH(B399,Parâmetros!$A$33:$A$37,0))</f>
        <v>5476.37033462034</v>
      </c>
      <c r="F399" s="7" t="n">
        <f aca="false">MAX(0,(E399-D399)/D399)</f>
        <v>0</v>
      </c>
      <c r="G399" s="7" t="n">
        <f aca="false">MIN(K399*Parâmetros!$B$19,Parâmetros!$B$8)</f>
        <v>0.0244038339849275</v>
      </c>
      <c r="H399" s="3" t="str">
        <f aca="false">IF(F399&gt;=Parâmetros!$B$6,"Ação","Acompanhamento")</f>
        <v>Acompanhamento</v>
      </c>
      <c r="I399" s="17" t="n">
        <v>303.779193205945</v>
      </c>
      <c r="J399" s="11" t="n">
        <f aca="false">D399*I399</f>
        <v>1669729.30997877</v>
      </c>
      <c r="K399" s="7" t="n">
        <f aca="false">Parâmetros!$B$4+Parâmetros!$B$5*F399</f>
        <v>0.02</v>
      </c>
      <c r="L399" s="11" t="n">
        <f aca="false">D399*(1+G399)</f>
        <v>5630.65919297393</v>
      </c>
      <c r="M399" s="14" t="n">
        <v>0</v>
      </c>
      <c r="N399" s="4" t="n">
        <v>0.858974358974359</v>
      </c>
      <c r="O399" s="3" t="str">
        <f aca="false">IF(AND(B399=4,M399=1),IF(N399&lt;0.8,"Subgrupo 7 dias; fronteira de cluster","Subgrupo 7 dias"),IF(N399&lt;0.8,"Fronteira de cluster",""))</f>
        <v/>
      </c>
    </row>
    <row r="400" customFormat="false" ht="15" hidden="false" customHeight="false" outlineLevel="0" collapsed="false">
      <c r="A400" s="14" t="n">
        <v>399</v>
      </c>
      <c r="B400" s="14" t="n">
        <v>1</v>
      </c>
      <c r="C400" s="14" t="s">
        <v>30</v>
      </c>
      <c r="D400" s="15" t="n">
        <v>5558.84887459807</v>
      </c>
      <c r="E400" s="16" t="n">
        <f aca="false">INDEX(Parâmetros!$C$33:$C$37,MATCH(B400,Parâmetros!$A$33:$A$37,0))</f>
        <v>6959.92435130262</v>
      </c>
      <c r="F400" s="7" t="n">
        <f aca="false">MAX(0,(E400-D400)/D400)</f>
        <v>0.252044174668421</v>
      </c>
      <c r="G400" s="7" t="n">
        <f aca="false">MIN(K400*Parâmetros!$B$19,Parâmetros!$B$8)</f>
        <v>0.10128938642838</v>
      </c>
      <c r="H400" s="3" t="str">
        <f aca="false">IF(F400&gt;=Parâmetros!$B$6,"Ação","Acompanhamento")</f>
        <v>Ação</v>
      </c>
      <c r="I400" s="17" t="n">
        <v>299.511873350924</v>
      </c>
      <c r="J400" s="11" t="n">
        <f aca="false">D400*I400</f>
        <v>1664941.24010554</v>
      </c>
      <c r="K400" s="7" t="n">
        <f aca="false">Parâmetros!$B$4+Parâmetros!$B$5*F400</f>
        <v>0.0830110436671052</v>
      </c>
      <c r="L400" s="11" t="n">
        <f aca="false">D400*(1+G400)</f>
        <v>6121.9012663542</v>
      </c>
      <c r="M400" s="14" t="n">
        <v>0</v>
      </c>
      <c r="N400" s="4" t="n">
        <v>1</v>
      </c>
      <c r="O400" s="3" t="str">
        <f aca="false">IF(AND(B400=4,M400=1),IF(N400&lt;0.8,"Subgrupo 7 dias; fronteira de cluster","Subgrupo 7 dias"),IF(N400&lt;0.8,"Fronteira de cluster",""))</f>
        <v/>
      </c>
    </row>
    <row r="401" customFormat="false" ht="15" hidden="false" customHeight="false" outlineLevel="0" collapsed="false">
      <c r="A401" s="14" t="n">
        <v>400</v>
      </c>
      <c r="B401" s="14" t="n">
        <v>0</v>
      </c>
      <c r="C401" s="14" t="s">
        <v>29</v>
      </c>
      <c r="D401" s="15" t="n">
        <v>8745.71867007673</v>
      </c>
      <c r="E401" s="16" t="n">
        <f aca="false">INDEX(Parâmetros!$C$33:$C$37,MATCH(B401,Parâmetros!$A$33:$A$37,0))</f>
        <v>5476.37033462034</v>
      </c>
      <c r="F401" s="7" t="n">
        <f aca="false">MAX(0,(E401-D401)/D401)</f>
        <v>0</v>
      </c>
      <c r="G401" s="7" t="n">
        <f aca="false">MIN(K401*Parâmetros!$B$19,Parâmetros!$B$8)</f>
        <v>0.0244038339849275</v>
      </c>
      <c r="H401" s="3" t="str">
        <f aca="false">IF(F401&gt;=Parâmetros!$B$6,"Ação","Acompanhamento")</f>
        <v>Acompanhamento</v>
      </c>
      <c r="I401" s="17" t="n">
        <v>303.004246284501</v>
      </c>
      <c r="J401" s="11" t="n">
        <f aca="false">D401*I401</f>
        <v>2649989.89384289</v>
      </c>
      <c r="K401" s="7" t="n">
        <f aca="false">Parâmetros!$B$4+Parâmetros!$B$5*F401</f>
        <v>0.02</v>
      </c>
      <c r="L401" s="11" t="n">
        <f aca="false">D401*(1+G401)</f>
        <v>8959.14773658016</v>
      </c>
      <c r="M401" s="14" t="n">
        <v>0</v>
      </c>
      <c r="N401" s="4" t="n">
        <v>0.962962962962963</v>
      </c>
      <c r="O401" s="3" t="str">
        <f aca="false">IF(AND(B401=4,M401=1),IF(N401&lt;0.8,"Subgrupo 7 dias; fronteira de cluster","Subgrupo 7 dias"),IF(N401&lt;0.8,"Fronteira de cluster",""))</f>
        <v/>
      </c>
    </row>
    <row r="402" customFormat="false" ht="15" hidden="false" customHeight="false" outlineLevel="0" collapsed="false">
      <c r="A402" s="14" t="n">
        <v>401</v>
      </c>
      <c r="B402" s="14" t="n">
        <v>3</v>
      </c>
      <c r="C402" s="14" t="s">
        <v>32</v>
      </c>
      <c r="D402" s="15" t="n">
        <v>7026.53205128205</v>
      </c>
      <c r="E402" s="16" t="n">
        <f aca="false">INDEX(Parâmetros!$C$33:$C$37,MATCH(B402,Parâmetros!$A$33:$A$37,0))</f>
        <v>5909.24487179487</v>
      </c>
      <c r="F402" s="7" t="n">
        <f aca="false">MAX(0,(E402-D402)/D402)</f>
        <v>0</v>
      </c>
      <c r="G402" s="7" t="n">
        <f aca="false">MIN(K402*Parâmetros!$B$19,Parâmetros!$B$8)</f>
        <v>0.0244038339849275</v>
      </c>
      <c r="H402" s="3" t="str">
        <f aca="false">IF(F402&gt;=Parâmetros!$B$6,"Ação","Acompanhamento")</f>
        <v>Acompanhamento</v>
      </c>
      <c r="I402" s="17" t="n">
        <v>302.229299363057</v>
      </c>
      <c r="J402" s="11" t="n">
        <f aca="false">D402*I402</f>
        <v>2123623.85881104</v>
      </c>
      <c r="K402" s="7" t="n">
        <f aca="false">Parâmetros!$B$4+Parâmetros!$B$5*F402</f>
        <v>0.02</v>
      </c>
      <c r="L402" s="11" t="n">
        <f aca="false">D402*(1+G402)</f>
        <v>7198.00637295131</v>
      </c>
      <c r="M402" s="14" t="n">
        <v>0</v>
      </c>
      <c r="N402" s="4" t="n">
        <v>1</v>
      </c>
      <c r="O402" s="3" t="str">
        <f aca="false">IF(AND(B402=4,M402=1),IF(N402&lt;0.8,"Subgrupo 7 dias; fronteira de cluster","Subgrupo 7 dias"),IF(N402&lt;0.8,"Fronteira de cluster",""))</f>
        <v/>
      </c>
    </row>
    <row r="403" customFormat="false" ht="15" hidden="false" customHeight="false" outlineLevel="0" collapsed="false">
      <c r="A403" s="14" t="n">
        <v>402</v>
      </c>
      <c r="B403" s="14" t="n">
        <v>2</v>
      </c>
      <c r="C403" s="14" t="s">
        <v>31</v>
      </c>
      <c r="D403" s="15" t="n">
        <v>5857.99102564103</v>
      </c>
      <c r="E403" s="16" t="n">
        <f aca="false">INDEX(Parâmetros!$C$33:$C$37,MATCH(B403,Parâmetros!$A$33:$A$37,0))</f>
        <v>6324.80102695764</v>
      </c>
      <c r="F403" s="7" t="n">
        <f aca="false">MAX(0,(E403-D403)/D403)</f>
        <v>0.0796877289967392</v>
      </c>
      <c r="G403" s="7" t="n">
        <f aca="false">MIN(K403*Parâmetros!$B$19,Parâmetros!$B$8)</f>
        <v>0.0487124103483313</v>
      </c>
      <c r="H403" s="3" t="str">
        <f aca="false">IF(F403&gt;=Parâmetros!$B$6,"Ação","Acompanhamento")</f>
        <v>Acompanhamento</v>
      </c>
      <c r="I403" s="17" t="n">
        <v>302.229299363057</v>
      </c>
      <c r="J403" s="11" t="n">
        <f aca="false">D403*I403</f>
        <v>1770456.52335456</v>
      </c>
      <c r="K403" s="7" t="n">
        <f aca="false">Parâmetros!$B$4+Parâmetros!$B$5*F403</f>
        <v>0.0399219322491848</v>
      </c>
      <c r="L403" s="11" t="n">
        <f aca="false">D403*(1+G403)</f>
        <v>6143.34788829889</v>
      </c>
      <c r="M403" s="14" t="n">
        <v>0</v>
      </c>
      <c r="N403" s="4" t="n">
        <v>0.950617283950617</v>
      </c>
      <c r="O403" s="3" t="str">
        <f aca="false">IF(AND(B403=4,M403=1),IF(N403&lt;0.8,"Subgrupo 7 dias; fronteira de cluster","Subgrupo 7 dias"),IF(N403&lt;0.8,"Fronteira de cluster",""))</f>
        <v/>
      </c>
    </row>
    <row r="404" customFormat="false" ht="15" hidden="false" customHeight="false" outlineLevel="0" collapsed="false">
      <c r="A404" s="14" t="n">
        <v>403</v>
      </c>
      <c r="B404" s="14" t="n">
        <v>1</v>
      </c>
      <c r="C404" s="14" t="s">
        <v>30</v>
      </c>
      <c r="D404" s="15" t="n">
        <v>7468.52374839538</v>
      </c>
      <c r="E404" s="16" t="n">
        <f aca="false">INDEX(Parâmetros!$C$33:$C$37,MATCH(B404,Parâmetros!$A$33:$A$37,0))</f>
        <v>6959.92435130262</v>
      </c>
      <c r="F404" s="7" t="n">
        <f aca="false">MAX(0,(E404-D404)/D404)</f>
        <v>0</v>
      </c>
      <c r="G404" s="7" t="n">
        <f aca="false">MIN(K404*Parâmetros!$B$19,Parâmetros!$B$8)</f>
        <v>0.0244038339849275</v>
      </c>
      <c r="H404" s="3" t="str">
        <f aca="false">IF(F404&gt;=Parâmetros!$B$6,"Ação","Acompanhamento")</f>
        <v>Acompanhamento</v>
      </c>
      <c r="I404" s="17" t="n">
        <v>301.841825902336</v>
      </c>
      <c r="J404" s="11" t="n">
        <f aca="false">D404*I404</f>
        <v>2254312.84501062</v>
      </c>
      <c r="K404" s="7" t="n">
        <f aca="false">Parâmetros!$B$4+Parâmetros!$B$5*F404</f>
        <v>0.02</v>
      </c>
      <c r="L404" s="11" t="n">
        <f aca="false">D404*(1+G404)</f>
        <v>7650.78436206371</v>
      </c>
      <c r="M404" s="14" t="n">
        <v>0</v>
      </c>
      <c r="N404" s="4" t="n">
        <v>1</v>
      </c>
      <c r="O404" s="3" t="str">
        <f aca="false">IF(AND(B404=4,M404=1),IF(N404&lt;0.8,"Subgrupo 7 dias; fronteira de cluster","Subgrupo 7 dias"),IF(N404&lt;0.8,"Fronteira de cluster",""))</f>
        <v/>
      </c>
    </row>
    <row r="405" customFormat="false" ht="15" hidden="false" customHeight="false" outlineLevel="0" collapsed="false">
      <c r="A405" s="14" t="n">
        <v>404</v>
      </c>
      <c r="B405" s="14" t="n">
        <v>0</v>
      </c>
      <c r="C405" s="14" t="s">
        <v>29</v>
      </c>
      <c r="D405" s="15" t="n">
        <v>4785.22397891963</v>
      </c>
      <c r="E405" s="16" t="n">
        <f aca="false">INDEX(Parâmetros!$C$33:$C$37,MATCH(B405,Parâmetros!$A$33:$A$37,0))</f>
        <v>5476.37033462034</v>
      </c>
      <c r="F405" s="7" t="n">
        <f aca="false">MAX(0,(E405-D405)/D405)</f>
        <v>0.144433439008375</v>
      </c>
      <c r="G405" s="7" t="n">
        <f aca="false">MIN(K405*Parâmetros!$B$19,Parâmetros!$B$8)</f>
        <v>0.0684629548278341</v>
      </c>
      <c r="H405" s="3" t="str">
        <f aca="false">IF(F405&gt;=Parâmetros!$B$6,"Ação","Acompanhamento")</f>
        <v>Ação</v>
      </c>
      <c r="I405" s="17" t="n">
        <v>294.092356687898</v>
      </c>
      <c r="J405" s="11" t="n">
        <f aca="false">D405*I405</f>
        <v>1407297.79723992</v>
      </c>
      <c r="K405" s="7" t="n">
        <f aca="false">Parâmetros!$B$4+Parâmetros!$B$5*F405</f>
        <v>0.0561083597520938</v>
      </c>
      <c r="L405" s="11" t="n">
        <f aca="false">D405*(1+G405)</f>
        <v>5112.83455202947</v>
      </c>
      <c r="M405" s="14" t="n">
        <v>0</v>
      </c>
      <c r="N405" s="4" t="n">
        <v>1</v>
      </c>
      <c r="O405" s="3" t="str">
        <f aca="false">IF(AND(B405=4,M405=1),IF(N405&lt;0.8,"Subgrupo 7 dias; fronteira de cluster","Subgrupo 7 dias"),IF(N405&lt;0.8,"Fronteira de cluster",""))</f>
        <v/>
      </c>
    </row>
    <row r="406" customFormat="false" ht="15" hidden="false" customHeight="false" outlineLevel="0" collapsed="false">
      <c r="A406" s="14" t="n">
        <v>405</v>
      </c>
      <c r="B406" s="14" t="n">
        <v>3</v>
      </c>
      <c r="C406" s="14" t="s">
        <v>32</v>
      </c>
      <c r="D406" s="15" t="n">
        <v>4520.69961489089</v>
      </c>
      <c r="E406" s="16" t="n">
        <f aca="false">INDEX(Parâmetros!$C$33:$C$37,MATCH(B406,Parâmetros!$A$33:$A$37,0))</f>
        <v>5909.24487179487</v>
      </c>
      <c r="F406" s="7" t="n">
        <f aca="false">MAX(0,(E406-D406)/D406)</f>
        <v>0.307152736344218</v>
      </c>
      <c r="G406" s="7" t="n">
        <f aca="false">MIN(K406*Parâmetros!$B$19,Parâmetros!$B$8)</f>
        <v>0.118100138806933</v>
      </c>
      <c r="H406" s="3" t="str">
        <f aca="false">IF(F406&gt;=Parâmetros!$B$6,"Ação","Acompanhamento")</f>
        <v>Ação</v>
      </c>
      <c r="I406" s="17" t="n">
        <v>301.841825902336</v>
      </c>
      <c r="J406" s="11" t="n">
        <f aca="false">D406*I406</f>
        <v>1364536.22611465</v>
      </c>
      <c r="K406" s="7" t="n">
        <f aca="false">Parâmetros!$B$4+Parâmetros!$B$5*F406</f>
        <v>0.0967881840860544</v>
      </c>
      <c r="L406" s="11" t="n">
        <f aca="false">D406*(1+G406)</f>
        <v>5054.59486691395</v>
      </c>
      <c r="M406" s="14" t="n">
        <v>0</v>
      </c>
      <c r="N406" s="4" t="n">
        <v>0.947368421052632</v>
      </c>
      <c r="O406" s="3" t="str">
        <f aca="false">IF(AND(B406=4,M406=1),IF(N406&lt;0.8,"Subgrupo 7 dias; fronteira de cluster","Subgrupo 7 dias"),IF(N406&lt;0.8,"Fronteira de cluster",""))</f>
        <v/>
      </c>
    </row>
    <row r="407" customFormat="false" ht="15" hidden="false" customHeight="false" outlineLevel="0" collapsed="false">
      <c r="A407" s="14" t="n">
        <v>406</v>
      </c>
      <c r="B407" s="14" t="n">
        <v>1</v>
      </c>
      <c r="C407" s="14" t="s">
        <v>30</v>
      </c>
      <c r="D407" s="15" t="n">
        <v>6111.05905006419</v>
      </c>
      <c r="E407" s="16" t="n">
        <f aca="false">INDEX(Parâmetros!$C$33:$C$37,MATCH(B407,Parâmetros!$A$33:$A$37,0))</f>
        <v>6959.92435130262</v>
      </c>
      <c r="F407" s="7" t="n">
        <f aca="false">MAX(0,(E407-D407)/D407)</f>
        <v>0.138906414466658</v>
      </c>
      <c r="G407" s="7" t="n">
        <f aca="false">MIN(K407*Parâmetros!$B$19,Parâmetros!$B$8)</f>
        <v>0.0667769474610005</v>
      </c>
      <c r="H407" s="3" t="str">
        <f aca="false">IF(F407&gt;=Parâmetros!$B$6,"Ação","Acompanhamento")</f>
        <v>Ação</v>
      </c>
      <c r="I407" s="17" t="n">
        <v>301.841825902336</v>
      </c>
      <c r="J407" s="11" t="n">
        <f aca="false">D407*I407</f>
        <v>1844573.22186837</v>
      </c>
      <c r="K407" s="7" t="n">
        <f aca="false">Parâmetros!$B$4+Parâmetros!$B$5*F407</f>
        <v>0.0547266036166645</v>
      </c>
      <c r="L407" s="11" t="n">
        <f aca="false">D407*(1+G407)</f>
        <v>6519.13691918139</v>
      </c>
      <c r="M407" s="14" t="n">
        <v>0</v>
      </c>
      <c r="N407" s="4" t="n">
        <v>1</v>
      </c>
      <c r="O407" s="3" t="str">
        <f aca="false">IF(AND(B407=4,M407=1),IF(N407&lt;0.8,"Subgrupo 7 dias; fronteira de cluster","Subgrupo 7 dias"),IF(N407&lt;0.8,"Fronteira de cluster",""))</f>
        <v/>
      </c>
    </row>
    <row r="408" customFormat="false" ht="15" hidden="false" customHeight="false" outlineLevel="0" collapsed="false">
      <c r="A408" s="14" t="n">
        <v>407</v>
      </c>
      <c r="B408" s="14" t="n">
        <v>1</v>
      </c>
      <c r="C408" s="14" t="s">
        <v>30</v>
      </c>
      <c r="D408" s="15" t="n">
        <v>3886.74437299035</v>
      </c>
      <c r="E408" s="16" t="n">
        <f aca="false">INDEX(Parâmetros!$C$33:$C$37,MATCH(B408,Parâmetros!$A$33:$A$37,0))</f>
        <v>6959.92435130262</v>
      </c>
      <c r="F408" s="7" t="n">
        <f aca="false">MAX(0,(E408-D408)/D408)</f>
        <v>0.790682299476219</v>
      </c>
      <c r="G408" s="7" t="n">
        <f aca="false">MIN(K408*Parâmetros!$B$19,Parâmetros!$B$8)</f>
        <v>0.2</v>
      </c>
      <c r="H408" s="3" t="str">
        <f aca="false">IF(F408&gt;=Parâmetros!$B$6,"Ação","Acompanhamento")</f>
        <v>Ação</v>
      </c>
      <c r="I408" s="17" t="n">
        <v>299.511873350924</v>
      </c>
      <c r="J408" s="11" t="n">
        <f aca="false">D408*I408</f>
        <v>1164126.0883905</v>
      </c>
      <c r="K408" s="7" t="n">
        <f aca="false">Parâmetros!$B$4+Parâmetros!$B$5*F408</f>
        <v>0.217670574869055</v>
      </c>
      <c r="L408" s="11" t="n">
        <f aca="false">D408*(1+G408)</f>
        <v>4664.09324758843</v>
      </c>
      <c r="M408" s="14" t="n">
        <v>0</v>
      </c>
      <c r="N408" s="4" t="n">
        <v>1</v>
      </c>
      <c r="O408" s="3" t="str">
        <f aca="false">IF(AND(B408=4,M408=1),IF(N408&lt;0.8,"Subgrupo 7 dias; fronteira de cluster","Subgrupo 7 dias"),IF(N408&lt;0.8,"Fronteira de cluster",""))</f>
        <v/>
      </c>
    </row>
    <row r="409" customFormat="false" ht="15" hidden="false" customHeight="false" outlineLevel="0" collapsed="false">
      <c r="A409" s="14" t="n">
        <v>408</v>
      </c>
      <c r="B409" s="14" t="n">
        <v>0</v>
      </c>
      <c r="C409" s="14" t="s">
        <v>29</v>
      </c>
      <c r="D409" s="15" t="n">
        <v>4727.77477477477</v>
      </c>
      <c r="E409" s="16" t="n">
        <f aca="false">INDEX(Parâmetros!$C$33:$C$37,MATCH(B409,Parâmetros!$A$33:$A$37,0))</f>
        <v>5476.37033462034</v>
      </c>
      <c r="F409" s="7" t="n">
        <f aca="false">MAX(0,(E409-D409)/D409)</f>
        <v>0.158339936969866</v>
      </c>
      <c r="G409" s="7" t="n">
        <f aca="false">MIN(K409*Parâmetros!$B$19,Parâmetros!$B$8)</f>
        <v>0.0727051031723835</v>
      </c>
      <c r="H409" s="3" t="str">
        <f aca="false">IF(F409&gt;=Parâmetros!$B$6,"Ação","Acompanhamento")</f>
        <v>Ação</v>
      </c>
      <c r="I409" s="17" t="n">
        <v>301.066878980892</v>
      </c>
      <c r="J409" s="11" t="n">
        <f aca="false">D409*I409</f>
        <v>1423376.39596603</v>
      </c>
      <c r="K409" s="7" t="n">
        <f aca="false">Parâmetros!$B$4+Parâmetros!$B$5*F409</f>
        <v>0.0595849842424665</v>
      </c>
      <c r="L409" s="11" t="n">
        <f aca="false">D409*(1+G409)</f>
        <v>5071.50812755057</v>
      </c>
      <c r="M409" s="14" t="n">
        <v>0</v>
      </c>
      <c r="N409" s="4" t="n">
        <v>0.903614457831325</v>
      </c>
      <c r="O409" s="3" t="str">
        <f aca="false">IF(AND(B409=4,M409=1),IF(N409&lt;0.8,"Subgrupo 7 dias; fronteira de cluster","Subgrupo 7 dias"),IF(N409&lt;0.8,"Fronteira de cluster",""))</f>
        <v/>
      </c>
    </row>
    <row r="410" customFormat="false" ht="15" hidden="false" customHeight="false" outlineLevel="0" collapsed="false">
      <c r="A410" s="14" t="n">
        <v>409</v>
      </c>
      <c r="B410" s="14" t="n">
        <v>0</v>
      </c>
      <c r="C410" s="14" t="s">
        <v>29</v>
      </c>
      <c r="D410" s="15" t="n">
        <v>5527.35851472471</v>
      </c>
      <c r="E410" s="16" t="n">
        <f aca="false">INDEX(Parâmetros!$C$33:$C$37,MATCH(B410,Parâmetros!$A$33:$A$37,0))</f>
        <v>5476.37033462034</v>
      </c>
      <c r="F410" s="7" t="n">
        <f aca="false">MAX(0,(E410-D410)/D410)</f>
        <v>0</v>
      </c>
      <c r="G410" s="7" t="n">
        <f aca="false">MIN(K410*Parâmetros!$B$19,Parâmetros!$B$8)</f>
        <v>0.0244038339849275</v>
      </c>
      <c r="H410" s="3" t="str">
        <f aca="false">IF(F410&gt;=Parâmetros!$B$6,"Ação","Acompanhamento")</f>
        <v>Acompanhamento</v>
      </c>
      <c r="I410" s="17" t="n">
        <v>302.616772823779</v>
      </c>
      <c r="J410" s="11" t="n">
        <f aca="false">D410*I410</f>
        <v>1672671.39596603</v>
      </c>
      <c r="K410" s="7" t="n">
        <f aca="false">Parâmetros!$B$4+Parâmetros!$B$5*F410</f>
        <v>0.02</v>
      </c>
      <c r="L410" s="11" t="n">
        <f aca="false">D410*(1+G410)</f>
        <v>5662.24725429323</v>
      </c>
      <c r="M410" s="14" t="n">
        <v>0</v>
      </c>
      <c r="N410" s="4" t="n">
        <v>0.903614457831325</v>
      </c>
      <c r="O410" s="3" t="str">
        <f aca="false">IF(AND(B410=4,M410=1),IF(N410&lt;0.8,"Subgrupo 7 dias; fronteira de cluster","Subgrupo 7 dias"),IF(N410&lt;0.8,"Fronteira de cluster",""))</f>
        <v/>
      </c>
    </row>
    <row r="411" customFormat="false" ht="15" hidden="false" customHeight="false" outlineLevel="0" collapsed="false">
      <c r="A411" s="14" t="n">
        <v>410</v>
      </c>
      <c r="B411" s="14" t="n">
        <v>0</v>
      </c>
      <c r="C411" s="14" t="s">
        <v>29</v>
      </c>
      <c r="D411" s="15" t="n">
        <v>6443.87804878049</v>
      </c>
      <c r="E411" s="16" t="n">
        <f aca="false">INDEX(Parâmetros!$C$33:$C$37,MATCH(B411,Parâmetros!$A$33:$A$37,0))</f>
        <v>5476.37033462034</v>
      </c>
      <c r="F411" s="7" t="n">
        <f aca="false">MAX(0,(E411-D411)/D411)</f>
        <v>0</v>
      </c>
      <c r="G411" s="7" t="n">
        <f aca="false">MIN(K411*Parâmetros!$B$19,Parâmetros!$B$8)</f>
        <v>0.0244038339849275</v>
      </c>
      <c r="H411" s="3" t="str">
        <f aca="false">IF(F411&gt;=Parâmetros!$B$6,"Ação","Acompanhamento")</f>
        <v>Acompanhamento</v>
      </c>
      <c r="I411" s="17" t="n">
        <v>301.841825902336</v>
      </c>
      <c r="J411" s="11" t="n">
        <f aca="false">D411*I411</f>
        <v>1945031.91613588</v>
      </c>
      <c r="K411" s="7" t="n">
        <f aca="false">Parâmetros!$B$4+Parâmetros!$B$5*F411</f>
        <v>0.02</v>
      </c>
      <c r="L411" s="11" t="n">
        <f aca="false">D411*(1+G411)</f>
        <v>6601.13337890205</v>
      </c>
      <c r="M411" s="14" t="n">
        <v>0</v>
      </c>
      <c r="N411" s="4" t="n">
        <v>0.977011494252874</v>
      </c>
      <c r="O411" s="3" t="str">
        <f aca="false">IF(AND(B411=4,M411=1),IF(N411&lt;0.8,"Subgrupo 7 dias; fronteira de cluster","Subgrupo 7 dias"),IF(N411&lt;0.8,"Fronteira de cluster",""))</f>
        <v/>
      </c>
    </row>
    <row r="412" customFormat="false" ht="15" hidden="false" customHeight="false" outlineLevel="0" collapsed="false">
      <c r="A412" s="14" t="n">
        <v>411</v>
      </c>
      <c r="B412" s="14" t="n">
        <v>1</v>
      </c>
      <c r="C412" s="14" t="s">
        <v>30</v>
      </c>
      <c r="D412" s="15" t="n">
        <v>9133.36491677337</v>
      </c>
      <c r="E412" s="16" t="n">
        <f aca="false">INDEX(Parâmetros!$C$33:$C$37,MATCH(B412,Parâmetros!$A$33:$A$37,0))</f>
        <v>6959.92435130262</v>
      </c>
      <c r="F412" s="7" t="n">
        <f aca="false">MAX(0,(E412-D412)/D412)</f>
        <v>0</v>
      </c>
      <c r="G412" s="7" t="n">
        <f aca="false">MIN(K412*Parâmetros!$B$19,Parâmetros!$B$8)</f>
        <v>0.0244038339849275</v>
      </c>
      <c r="H412" s="3" t="str">
        <f aca="false">IF(F412&gt;=Parâmetros!$B$6,"Ação","Acompanhamento")</f>
        <v>Acompanhamento</v>
      </c>
      <c r="I412" s="17" t="n">
        <v>302.616772823779</v>
      </c>
      <c r="J412" s="11" t="n">
        <f aca="false">D412*I412</f>
        <v>2763909.41613588</v>
      </c>
      <c r="K412" s="7" t="n">
        <f aca="false">Parâmetros!$B$4+Parâmetros!$B$5*F412</f>
        <v>0.02</v>
      </c>
      <c r="L412" s="11" t="n">
        <f aca="false">D412*(1+G412)</f>
        <v>9356.25403792607</v>
      </c>
      <c r="M412" s="14" t="n">
        <v>0</v>
      </c>
      <c r="N412" s="4" t="n">
        <v>1</v>
      </c>
      <c r="O412" s="3" t="str">
        <f aca="false">IF(AND(B412=4,M412=1),IF(N412&lt;0.8,"Subgrupo 7 dias; fronteira de cluster","Subgrupo 7 dias"),IF(N412&lt;0.8,"Fronteira de cluster",""))</f>
        <v/>
      </c>
    </row>
    <row r="413" customFormat="false" ht="15" hidden="false" customHeight="false" outlineLevel="0" collapsed="false">
      <c r="A413" s="14" t="n">
        <v>412</v>
      </c>
      <c r="B413" s="14" t="n">
        <v>1</v>
      </c>
      <c r="C413" s="14" t="s">
        <v>30</v>
      </c>
      <c r="D413" s="15" t="n">
        <v>9102.12218649518</v>
      </c>
      <c r="E413" s="16" t="n">
        <f aca="false">INDEX(Parâmetros!$C$33:$C$37,MATCH(B413,Parâmetros!$A$33:$A$37,0))</f>
        <v>6959.92435130262</v>
      </c>
      <c r="F413" s="7" t="n">
        <f aca="false">MAX(0,(E413-D413)/D413)</f>
        <v>0</v>
      </c>
      <c r="G413" s="7" t="n">
        <f aca="false">MIN(K413*Parâmetros!$B$19,Parâmetros!$B$8)</f>
        <v>0.0244038339849275</v>
      </c>
      <c r="H413" s="3" t="str">
        <f aca="false">IF(F413&gt;=Parâmetros!$B$6,"Ação","Acompanhamento")</f>
        <v>Acompanhamento</v>
      </c>
      <c r="I413" s="17" t="n">
        <v>299.511873350924</v>
      </c>
      <c r="J413" s="11" t="n">
        <f aca="false">D413*I413</f>
        <v>2726193.66754617</v>
      </c>
      <c r="K413" s="7" t="n">
        <f aca="false">Parâmetros!$B$4+Parâmetros!$B$5*F413</f>
        <v>0.02</v>
      </c>
      <c r="L413" s="11" t="n">
        <f aca="false">D413*(1+G413)</f>
        <v>9324.24886524493</v>
      </c>
      <c r="M413" s="14" t="n">
        <v>0</v>
      </c>
      <c r="N413" s="4" t="n">
        <v>1</v>
      </c>
      <c r="O413" s="3" t="str">
        <f aca="false">IF(AND(B413=4,M413=1),IF(N413&lt;0.8,"Subgrupo 7 dias; fronteira de cluster","Subgrupo 7 dias"),IF(N413&lt;0.8,"Fronteira de cluster",""))</f>
        <v/>
      </c>
    </row>
    <row r="414" customFormat="false" ht="15" hidden="false" customHeight="false" outlineLevel="0" collapsed="false">
      <c r="A414" s="14" t="n">
        <v>413</v>
      </c>
      <c r="B414" s="14" t="n">
        <v>0</v>
      </c>
      <c r="C414" s="14" t="s">
        <v>29</v>
      </c>
      <c r="D414" s="15" t="n">
        <v>7058.21704180064</v>
      </c>
      <c r="E414" s="16" t="n">
        <f aca="false">INDEX(Parâmetros!$C$33:$C$37,MATCH(B414,Parâmetros!$A$33:$A$37,0))</f>
        <v>5476.37033462034</v>
      </c>
      <c r="F414" s="7" t="n">
        <f aca="false">MAX(0,(E414-D414)/D414)</f>
        <v>0</v>
      </c>
      <c r="G414" s="7" t="n">
        <f aca="false">MIN(K414*Parâmetros!$B$19,Parâmetros!$B$8)</f>
        <v>0.0244038339849275</v>
      </c>
      <c r="H414" s="3" t="str">
        <f aca="false">IF(F414&gt;=Parâmetros!$B$6,"Ação","Acompanhamento")</f>
        <v>Acompanhamento</v>
      </c>
      <c r="I414" s="17" t="n">
        <v>299.511873350924</v>
      </c>
      <c r="J414" s="11" t="n">
        <f aca="false">D414*I414</f>
        <v>2114019.80870712</v>
      </c>
      <c r="K414" s="7" t="n">
        <f aca="false">Parâmetros!$B$4+Parâmetros!$B$5*F414</f>
        <v>0.02</v>
      </c>
      <c r="L414" s="11" t="n">
        <f aca="false">D414*(1+G414)</f>
        <v>7230.46459871833</v>
      </c>
      <c r="M414" s="14" t="n">
        <v>0</v>
      </c>
      <c r="N414" s="4" t="n">
        <v>0.795180722891566</v>
      </c>
      <c r="O414" s="3" t="str">
        <f aca="false">IF(AND(B414=4,M414=1),IF(N414&lt;0.8,"Subgrupo 7 dias; fronteira de cluster","Subgrupo 7 dias"),IF(N414&lt;0.8,"Fronteira de cluster",""))</f>
        <v>Fronteira de cluster</v>
      </c>
    </row>
    <row r="415" customFormat="false" ht="15" hidden="false" customHeight="false" outlineLevel="0" collapsed="false">
      <c r="A415" s="14" t="n">
        <v>414</v>
      </c>
      <c r="B415" s="14" t="n">
        <v>1</v>
      </c>
      <c r="C415" s="14" t="s">
        <v>30</v>
      </c>
      <c r="D415" s="15" t="n">
        <v>6427.97695262484</v>
      </c>
      <c r="E415" s="16" t="n">
        <f aca="false">INDEX(Parâmetros!$C$33:$C$37,MATCH(B415,Parâmetros!$A$33:$A$37,0))</f>
        <v>6959.92435130262</v>
      </c>
      <c r="F415" s="7" t="n">
        <f aca="false">MAX(0,(E415-D415)/D415)</f>
        <v>0.0827550258189029</v>
      </c>
      <c r="G415" s="7" t="n">
        <f aca="false">MIN(K415*Parâmetros!$B$19,Parâmetros!$B$8)</f>
        <v>0.0496480828787136</v>
      </c>
      <c r="H415" s="3" t="str">
        <f aca="false">IF(F415&gt;=Parâmetros!$B$6,"Ação","Acompanhamento")</f>
        <v>Acompanhamento</v>
      </c>
      <c r="I415" s="17" t="n">
        <v>302.616772823779</v>
      </c>
      <c r="J415" s="11" t="n">
        <f aca="false">D415*I415</f>
        <v>1945213.64118896</v>
      </c>
      <c r="K415" s="7" t="n">
        <f aca="false">Parâmetros!$B$4+Parâmetros!$B$5*F415</f>
        <v>0.0406887564547257</v>
      </c>
      <c r="L415" s="11" t="n">
        <f aca="false">D415*(1+G415)</f>
        <v>6747.11368511122</v>
      </c>
      <c r="M415" s="14" t="n">
        <v>0</v>
      </c>
      <c r="N415" s="4" t="n">
        <v>1</v>
      </c>
      <c r="O415" s="3" t="str">
        <f aca="false">IF(AND(B415=4,M415=1),IF(N415&lt;0.8,"Subgrupo 7 dias; fronteira de cluster","Subgrupo 7 dias"),IF(N415&lt;0.8,"Fronteira de cluster",""))</f>
        <v/>
      </c>
    </row>
    <row r="416" customFormat="false" ht="15" hidden="false" customHeight="false" outlineLevel="0" collapsed="false">
      <c r="A416" s="14" t="n">
        <v>415</v>
      </c>
      <c r="B416" s="14" t="n">
        <v>1</v>
      </c>
      <c r="C416" s="14" t="s">
        <v>30</v>
      </c>
      <c r="D416" s="15" t="n">
        <v>6234.83461538462</v>
      </c>
      <c r="E416" s="16" t="n">
        <f aca="false">INDEX(Parâmetros!$C$33:$C$37,MATCH(B416,Parâmetros!$A$33:$A$37,0))</f>
        <v>6959.92435130262</v>
      </c>
      <c r="F416" s="7" t="n">
        <f aca="false">MAX(0,(E416-D416)/D416)</f>
        <v>0.116296546844856</v>
      </c>
      <c r="G416" s="7" t="n">
        <f aca="false">MIN(K416*Parâmetros!$B$19,Parâmetros!$B$8)</f>
        <v>0.059879854262705</v>
      </c>
      <c r="H416" s="3" t="str">
        <f aca="false">IF(F416&gt;=Parâmetros!$B$6,"Ação","Acompanhamento")</f>
        <v>Ação</v>
      </c>
      <c r="I416" s="17" t="n">
        <v>302.229299363057</v>
      </c>
      <c r="J416" s="11" t="n">
        <f aca="false">D416*I416</f>
        <v>1884349.69745223</v>
      </c>
      <c r="K416" s="7" t="n">
        <f aca="false">Parâmetros!$B$4+Parâmetros!$B$5*F416</f>
        <v>0.049074136711214</v>
      </c>
      <c r="L416" s="11" t="n">
        <f aca="false">D416*(1+G416)</f>
        <v>6608.17560350591</v>
      </c>
      <c r="M416" s="14" t="n">
        <v>0</v>
      </c>
      <c r="N416" s="4" t="n">
        <v>1</v>
      </c>
      <c r="O416" s="3" t="str">
        <f aca="false">IF(AND(B416=4,M416=1),IF(N416&lt;0.8,"Subgrupo 7 dias; fronteira de cluster","Subgrupo 7 dias"),IF(N416&lt;0.8,"Fronteira de cluster",""))</f>
        <v/>
      </c>
    </row>
    <row r="417" customFormat="false" ht="15" hidden="false" customHeight="false" outlineLevel="0" collapsed="false">
      <c r="A417" s="14" t="n">
        <v>416</v>
      </c>
      <c r="B417" s="14" t="n">
        <v>4</v>
      </c>
      <c r="C417" s="14" t="s">
        <v>33</v>
      </c>
      <c r="D417" s="15" t="n">
        <v>11012.006377551</v>
      </c>
      <c r="E417" s="16" t="n">
        <f aca="false">INDEX(Parâmetros!$C$33:$C$37,MATCH(B417,Parâmetros!$A$33:$A$37,0))</f>
        <v>8837.10512820513</v>
      </c>
      <c r="F417" s="7" t="n">
        <f aca="false">MAX(0,(E417-D417)/D417)</f>
        <v>0</v>
      </c>
      <c r="G417" s="7" t="n">
        <f aca="false">MIN(K417*Parâmetros!$B$19,Parâmetros!$B$8)</f>
        <v>0.0244038339849275</v>
      </c>
      <c r="H417" s="3" t="str">
        <f aca="false">IF(F417&gt;=Parâmetros!$B$6,"Ação","Acompanhamento")</f>
        <v>Acompanhamento</v>
      </c>
      <c r="I417" s="17" t="n">
        <v>303.779193205945</v>
      </c>
      <c r="J417" s="11" t="n">
        <f aca="false">D417*I417</f>
        <v>3345218.41295117</v>
      </c>
      <c r="K417" s="7" t="n">
        <f aca="false">Parâmetros!$B$4+Parâmetros!$B$5*F417</f>
        <v>0.02</v>
      </c>
      <c r="L417" s="11" t="n">
        <f aca="false">D417*(1+G417)</f>
        <v>11280.7415530297</v>
      </c>
      <c r="M417" s="14" t="n">
        <v>0</v>
      </c>
      <c r="N417" s="4" t="n">
        <v>1</v>
      </c>
      <c r="O417" s="3" t="str">
        <f aca="false">IF(AND(B417=4,M417=1),IF(N417&lt;0.8,"Subgrupo 7 dias; fronteira de cluster","Subgrupo 7 dias"),IF(N417&lt;0.8,"Fronteira de cluster",""))</f>
        <v/>
      </c>
    </row>
    <row r="418" customFormat="false" ht="15" hidden="false" customHeight="false" outlineLevel="0" collapsed="false">
      <c r="A418" s="14" t="n">
        <v>417</v>
      </c>
      <c r="B418" s="14" t="n">
        <v>0</v>
      </c>
      <c r="C418" s="14" t="s">
        <v>29</v>
      </c>
      <c r="D418" s="15" t="n">
        <v>7633.2811296534</v>
      </c>
      <c r="E418" s="16" t="n">
        <f aca="false">INDEX(Parâmetros!$C$33:$C$37,MATCH(B418,Parâmetros!$A$33:$A$37,0))</f>
        <v>5476.37033462034</v>
      </c>
      <c r="F418" s="7" t="n">
        <f aca="false">MAX(0,(E418-D418)/D418)</f>
        <v>0</v>
      </c>
      <c r="G418" s="7" t="n">
        <f aca="false">MIN(K418*Parâmetros!$B$19,Parâmetros!$B$8)</f>
        <v>0.0244038339849275</v>
      </c>
      <c r="H418" s="3" t="str">
        <f aca="false">IF(F418&gt;=Parâmetros!$B$6,"Ação","Acompanhamento")</f>
        <v>Acompanhamento</v>
      </c>
      <c r="I418" s="17" t="n">
        <v>301.841825902336</v>
      </c>
      <c r="J418" s="11" t="n">
        <f aca="false">D418*I418</f>
        <v>2304043.51380043</v>
      </c>
      <c r="K418" s="7" t="n">
        <f aca="false">Parâmetros!$B$4+Parâmetros!$B$5*F418</f>
        <v>0.02</v>
      </c>
      <c r="L418" s="11" t="n">
        <f aca="false">D418*(1+G418)</f>
        <v>7819.56245510174</v>
      </c>
      <c r="M418" s="14" t="n">
        <v>0</v>
      </c>
      <c r="N418" s="4" t="n">
        <v>1</v>
      </c>
      <c r="O418" s="3" t="str">
        <f aca="false">IF(AND(B418=4,M418=1),IF(N418&lt;0.8,"Subgrupo 7 dias; fronteira de cluster","Subgrupo 7 dias"),IF(N418&lt;0.8,"Fronteira de cluster",""))</f>
        <v/>
      </c>
    </row>
    <row r="419" customFormat="false" ht="15" hidden="false" customHeight="false" outlineLevel="0" collapsed="false">
      <c r="A419" s="14" t="n">
        <v>418</v>
      </c>
      <c r="B419" s="14" t="n">
        <v>3</v>
      </c>
      <c r="C419" s="14" t="s">
        <v>32</v>
      </c>
      <c r="D419" s="15" t="n">
        <v>5275.85180412371</v>
      </c>
      <c r="E419" s="16" t="n">
        <f aca="false">INDEX(Parâmetros!$C$33:$C$37,MATCH(B419,Parâmetros!$A$33:$A$37,0))</f>
        <v>5909.24487179487</v>
      </c>
      <c r="F419" s="7" t="n">
        <f aca="false">MAX(0,(E419-D419)/D419)</f>
        <v>0.120055128761594</v>
      </c>
      <c r="G419" s="7" t="n">
        <f aca="false">MIN(K419*Parâmetros!$B$19,Parâmetros!$B$8)</f>
        <v>0.0610264018766403</v>
      </c>
      <c r="H419" s="3" t="str">
        <f aca="false">IF(F419&gt;=Parâmetros!$B$6,"Ação","Acompanhamento")</f>
        <v>Ação</v>
      </c>
      <c r="I419" s="17" t="n">
        <v>300.67940552017</v>
      </c>
      <c r="J419" s="11" t="n">
        <f aca="false">D419*I419</f>
        <v>1586339.98407643</v>
      </c>
      <c r="K419" s="7" t="n">
        <f aca="false">Parâmetros!$B$4+Parâmetros!$B$5*F419</f>
        <v>0.0500137821903985</v>
      </c>
      <c r="L419" s="11" t="n">
        <f aca="false">D419*(1+G419)</f>
        <v>5597.81805656376</v>
      </c>
      <c r="M419" s="14" t="n">
        <v>0</v>
      </c>
      <c r="N419" s="4" t="n">
        <v>0.954022988505747</v>
      </c>
      <c r="O419" s="3" t="str">
        <f aca="false">IF(AND(B419=4,M419=1),IF(N419&lt;0.8,"Subgrupo 7 dias; fronteira de cluster","Subgrupo 7 dias"),IF(N419&lt;0.8,"Fronteira de cluster",""))</f>
        <v/>
      </c>
    </row>
    <row r="420" customFormat="false" ht="15" hidden="false" customHeight="false" outlineLevel="0" collapsed="false">
      <c r="A420" s="14" t="n">
        <v>419</v>
      </c>
      <c r="B420" s="14" t="n">
        <v>0</v>
      </c>
      <c r="C420" s="14" t="s">
        <v>29</v>
      </c>
      <c r="D420" s="15" t="n">
        <v>5311.15816326531</v>
      </c>
      <c r="E420" s="16" t="n">
        <f aca="false">INDEX(Parâmetros!$C$33:$C$37,MATCH(B420,Parâmetros!$A$33:$A$37,0))</f>
        <v>5476.37033462034</v>
      </c>
      <c r="F420" s="7" t="n">
        <f aca="false">MAX(0,(E420-D420)/D420)</f>
        <v>0.031106618608672</v>
      </c>
      <c r="G420" s="7" t="n">
        <f aca="false">MIN(K420*Parâmetros!$B$19,Parâmetros!$B$8)</f>
        <v>0.0338928434394085</v>
      </c>
      <c r="H420" s="3" t="str">
        <f aca="false">IF(F420&gt;=Parâmetros!$B$6,"Ação","Acompanhamento")</f>
        <v>Acompanhamento</v>
      </c>
      <c r="I420" s="17" t="n">
        <v>303.779193205945</v>
      </c>
      <c r="J420" s="11" t="n">
        <f aca="false">D420*I420</f>
        <v>1613419.3418259</v>
      </c>
      <c r="K420" s="7" t="n">
        <f aca="false">Parâmetros!$B$4+Parâmetros!$B$5*F420</f>
        <v>0.027776654652168</v>
      </c>
      <c r="L420" s="11" t="n">
        <f aca="false">D420*(1+G420)</f>
        <v>5491.16841537479</v>
      </c>
      <c r="M420" s="14" t="n">
        <v>0</v>
      </c>
      <c r="N420" s="4" t="n">
        <v>0.964285714285714</v>
      </c>
      <c r="O420" s="3" t="str">
        <f aca="false">IF(AND(B420=4,M420=1),IF(N420&lt;0.8,"Subgrupo 7 dias; fronteira de cluster","Subgrupo 7 dias"),IF(N420&lt;0.8,"Fronteira de cluster",""))</f>
        <v/>
      </c>
    </row>
    <row r="421" customFormat="false" ht="15" hidden="false" customHeight="false" outlineLevel="0" collapsed="false">
      <c r="A421" s="14" t="n">
        <v>420</v>
      </c>
      <c r="B421" s="14" t="n">
        <v>0</v>
      </c>
      <c r="C421" s="14" t="s">
        <v>29</v>
      </c>
      <c r="D421" s="15" t="n">
        <v>4540.34083601286</v>
      </c>
      <c r="E421" s="16" t="n">
        <f aca="false">INDEX(Parâmetros!$C$33:$C$37,MATCH(B421,Parâmetros!$A$33:$A$37,0))</f>
        <v>5476.37033462034</v>
      </c>
      <c r="F421" s="7" t="n">
        <f aca="false">MAX(0,(E421-D421)/D421)</f>
        <v>0.206158421231974</v>
      </c>
      <c r="G421" s="7" t="n">
        <f aca="false">MIN(K421*Parâmetros!$B$19,Parâmetros!$B$8)</f>
        <v>0.0872920325641755</v>
      </c>
      <c r="H421" s="3" t="str">
        <f aca="false">IF(F421&gt;=Parâmetros!$B$6,"Ação","Acompanhamento")</f>
        <v>Ação</v>
      </c>
      <c r="I421" s="17" t="n">
        <v>299.511873350924</v>
      </c>
      <c r="J421" s="11" t="n">
        <f aca="false">D421*I421</f>
        <v>1359885.98944591</v>
      </c>
      <c r="K421" s="7" t="n">
        <f aca="false">Parâmetros!$B$4+Parâmetros!$B$5*F421</f>
        <v>0.0715396053079936</v>
      </c>
      <c r="L421" s="11" t="n">
        <f aca="false">D421*(1+G421)</f>
        <v>4936.67641612255</v>
      </c>
      <c r="M421" s="14" t="n">
        <v>0</v>
      </c>
      <c r="N421" s="4" t="n">
        <v>0.662337662337662</v>
      </c>
      <c r="O421" s="3" t="str">
        <f aca="false">IF(AND(B421=4,M421=1),IF(N421&lt;0.8,"Subgrupo 7 dias; fronteira de cluster","Subgrupo 7 dias"),IF(N421&lt;0.8,"Fronteira de cluster",""))</f>
        <v>Fronteira de cluster</v>
      </c>
    </row>
    <row r="422" customFormat="false" ht="15" hidden="false" customHeight="false" outlineLevel="0" collapsed="false">
      <c r="A422" s="14" t="n">
        <v>421</v>
      </c>
      <c r="B422" s="14" t="n">
        <v>2</v>
      </c>
      <c r="C422" s="14" t="s">
        <v>31</v>
      </c>
      <c r="D422" s="15" t="n">
        <v>9588.2512755102</v>
      </c>
      <c r="E422" s="16" t="n">
        <f aca="false">INDEX(Parâmetros!$C$33:$C$37,MATCH(B422,Parâmetros!$A$33:$A$37,0))</f>
        <v>6324.80102695764</v>
      </c>
      <c r="F422" s="7" t="n">
        <f aca="false">MAX(0,(E422-D422)/D422)</f>
        <v>0</v>
      </c>
      <c r="G422" s="7" t="n">
        <f aca="false">MIN(K422*Parâmetros!$B$19,Parâmetros!$B$8)</f>
        <v>0.0244038339849275</v>
      </c>
      <c r="H422" s="3" t="str">
        <f aca="false">IF(F422&gt;=Parâmetros!$B$6,"Ação","Acompanhamento")</f>
        <v>Acompanhamento</v>
      </c>
      <c r="I422" s="17" t="n">
        <v>303.779193205945</v>
      </c>
      <c r="J422" s="11" t="n">
        <f aca="false">D422*I422</f>
        <v>2912711.23673036</v>
      </c>
      <c r="K422" s="7" t="n">
        <f aca="false">Parâmetros!$B$4+Parâmetros!$B$5*F422</f>
        <v>0.02</v>
      </c>
      <c r="L422" s="11" t="n">
        <f aca="false">D422*(1+G422)</f>
        <v>9822.24136784352</v>
      </c>
      <c r="M422" s="14" t="n">
        <v>0</v>
      </c>
      <c r="N422" s="4" t="n">
        <v>0.759493670886076</v>
      </c>
      <c r="O422" s="3" t="str">
        <f aca="false">IF(AND(B422=4,M422=1),IF(N422&lt;0.8,"Subgrupo 7 dias; fronteira de cluster","Subgrupo 7 dias"),IF(N422&lt;0.8,"Fronteira de cluster",""))</f>
        <v>Fronteira de cluster</v>
      </c>
    </row>
    <row r="423" customFormat="false" ht="15" hidden="false" customHeight="false" outlineLevel="0" collapsed="false">
      <c r="A423" s="14" t="n">
        <v>422</v>
      </c>
      <c r="B423" s="14" t="n">
        <v>1</v>
      </c>
      <c r="C423" s="14" t="s">
        <v>30</v>
      </c>
      <c r="D423" s="15" t="n">
        <v>4559.05994897959</v>
      </c>
      <c r="E423" s="16" t="n">
        <f aca="false">INDEX(Parâmetros!$C$33:$C$37,MATCH(B423,Parâmetros!$A$33:$A$37,0))</f>
        <v>6959.92435130262</v>
      </c>
      <c r="F423" s="7" t="n">
        <f aca="false">MAX(0,(E423-D423)/D423)</f>
        <v>0.526613913655685</v>
      </c>
      <c r="G423" s="7" t="n">
        <f aca="false">MIN(K423*Parâmetros!$B$19,Parâmetros!$B$8)</f>
        <v>0.185046315522506</v>
      </c>
      <c r="H423" s="3" t="str">
        <f aca="false">IF(F423&gt;=Parâmetros!$B$6,"Ação","Acompanhamento")</f>
        <v>Ação</v>
      </c>
      <c r="I423" s="17" t="n">
        <v>303.779193205945</v>
      </c>
      <c r="J423" s="11" t="n">
        <f aca="false">D423*I423</f>
        <v>1384947.55307856</v>
      </c>
      <c r="K423" s="7" t="n">
        <f aca="false">Parâmetros!$B$4+Parâmetros!$B$5*F423</f>
        <v>0.151653478413921</v>
      </c>
      <c r="L423" s="11" t="n">
        <f aca="false">D423*(1+G423)</f>
        <v>5402.69719478449</v>
      </c>
      <c r="M423" s="14" t="n">
        <v>0</v>
      </c>
      <c r="N423" s="4" t="n">
        <v>0.974683544303797</v>
      </c>
      <c r="O423" s="3" t="str">
        <f aca="false">IF(AND(B423=4,M423=1),IF(N423&lt;0.8,"Subgrupo 7 dias; fronteira de cluster","Subgrupo 7 dias"),IF(N423&lt;0.8,"Fronteira de cluster",""))</f>
        <v/>
      </c>
    </row>
    <row r="424" customFormat="false" ht="15" hidden="false" customHeight="false" outlineLevel="0" collapsed="false">
      <c r="A424" s="14" t="n">
        <v>423</v>
      </c>
      <c r="B424" s="14" t="n">
        <v>4</v>
      </c>
      <c r="C424" s="14" t="s">
        <v>33</v>
      </c>
      <c r="D424" s="15" t="n">
        <v>10828.4033970276</v>
      </c>
      <c r="E424" s="16" t="n">
        <f aca="false">INDEX(Parâmetros!$C$33:$C$37,MATCH(B424,Parâmetros!$A$33:$A$37,0))</f>
        <v>8837.10512820513</v>
      </c>
      <c r="F424" s="7" t="n">
        <f aca="false">MAX(0,(E424-D424)/D424)</f>
        <v>0</v>
      </c>
      <c r="G424" s="7" t="n">
        <f aca="false">MIN(K424*Parâmetros!$B$19,Parâmetros!$B$8)</f>
        <v>0.0244038339849275</v>
      </c>
      <c r="H424" s="3" t="str">
        <f aca="false">IF(F424&gt;=Parâmetros!$B$6,"Ação","Acompanhamento")</f>
        <v>Acompanhamento</v>
      </c>
      <c r="I424" s="17" t="n">
        <v>365</v>
      </c>
      <c r="J424" s="11" t="n">
        <f aca="false">D424*I424</f>
        <v>3952367.23991507</v>
      </c>
      <c r="K424" s="7" t="n">
        <f aca="false">Parâmetros!$B$4+Parâmetros!$B$5*F424</f>
        <v>0.02</v>
      </c>
      <c r="L424" s="11" t="n">
        <f aca="false">D424*(1+G424)</f>
        <v>11092.6579558505</v>
      </c>
      <c r="M424" s="14" t="n">
        <v>1</v>
      </c>
      <c r="N424" s="4" t="n">
        <v>1</v>
      </c>
      <c r="O424" s="3" t="str">
        <f aca="false">IF(AND(B424=4,M424=1),IF(N424&lt;0.8,"Subgrupo 7 dias; fronteira de cluster","Subgrupo 7 dias"),IF(N424&lt;0.8,"Fronteira de cluster",""))</f>
        <v>Subgrupo 7 dias</v>
      </c>
    </row>
    <row r="425" customFormat="false" ht="15" hidden="false" customHeight="false" outlineLevel="0" collapsed="false">
      <c r="A425" s="14" t="n">
        <v>424</v>
      </c>
      <c r="B425" s="14" t="n">
        <v>4</v>
      </c>
      <c r="C425" s="14" t="s">
        <v>33</v>
      </c>
      <c r="D425" s="15" t="n">
        <v>6925.75609756098</v>
      </c>
      <c r="E425" s="16" t="n">
        <f aca="false">INDEX(Parâmetros!$C$33:$C$37,MATCH(B425,Parâmetros!$A$33:$A$37,0))</f>
        <v>8837.10512820513</v>
      </c>
      <c r="F425" s="7" t="n">
        <f aca="false">MAX(0,(E425-D425)/D425)</f>
        <v>0.275976948035647</v>
      </c>
      <c r="G425" s="7" t="n">
        <f aca="false">MIN(K425*Parâmetros!$B$19,Parâmetros!$B$8)</f>
        <v>0.108590029279039</v>
      </c>
      <c r="H425" s="3" t="str">
        <f aca="false">IF(F425&gt;=Parâmetros!$B$6,"Ação","Acompanhamento")</f>
        <v>Ação</v>
      </c>
      <c r="I425" s="17" t="n">
        <v>301.841825902336</v>
      </c>
      <c r="J425" s="11" t="n">
        <f aca="false">D425*I425</f>
        <v>2090482.86624204</v>
      </c>
      <c r="K425" s="7" t="n">
        <f aca="false">Parâmetros!$B$4+Parâmetros!$B$5*F425</f>
        <v>0.0889942370089118</v>
      </c>
      <c r="L425" s="11" t="n">
        <f aca="false">D425*(1+G425)</f>
        <v>7677.8241549746</v>
      </c>
      <c r="M425" s="14" t="n">
        <v>0</v>
      </c>
      <c r="N425" s="4" t="n">
        <v>1</v>
      </c>
      <c r="O425" s="3" t="str">
        <f aca="false">IF(AND(B425=4,M425=1),IF(N425&lt;0.8,"Subgrupo 7 dias; fronteira de cluster","Subgrupo 7 dias"),IF(N425&lt;0.8,"Fronteira de cluster",""))</f>
        <v/>
      </c>
    </row>
    <row r="426" customFormat="false" ht="15" hidden="false" customHeight="false" outlineLevel="0" collapsed="false">
      <c r="A426" s="14" t="n">
        <v>425</v>
      </c>
      <c r="B426" s="14" t="n">
        <v>0</v>
      </c>
      <c r="C426" s="14" t="s">
        <v>29</v>
      </c>
      <c r="D426" s="15" t="n">
        <v>3237.65979381443</v>
      </c>
      <c r="E426" s="16" t="n">
        <f aca="false">INDEX(Parâmetros!$C$33:$C$37,MATCH(B426,Parâmetros!$A$33:$A$37,0))</f>
        <v>5476.37033462034</v>
      </c>
      <c r="F426" s="7" t="n">
        <f aca="false">MAX(0,(E426-D426)/D426)</f>
        <v>0.691459474859888</v>
      </c>
      <c r="G426" s="7" t="n">
        <f aca="false">MIN(K426*Parâmetros!$B$19,Parâmetros!$B$8)</f>
        <v>0.2</v>
      </c>
      <c r="H426" s="3" t="str">
        <f aca="false">IF(F426&gt;=Parâmetros!$B$6,"Ação","Acompanhamento")</f>
        <v>Ação</v>
      </c>
      <c r="I426" s="17" t="n">
        <v>300.67940552017</v>
      </c>
      <c r="J426" s="11" t="n">
        <f aca="false">D426*I426</f>
        <v>973497.62208068</v>
      </c>
      <c r="K426" s="7" t="n">
        <f aca="false">Parâmetros!$B$4+Parâmetros!$B$5*F426</f>
        <v>0.192864868714972</v>
      </c>
      <c r="L426" s="11" t="n">
        <f aca="false">D426*(1+G426)</f>
        <v>3885.19175257732</v>
      </c>
      <c r="M426" s="14" t="n">
        <v>0</v>
      </c>
      <c r="N426" s="4" t="n">
        <v>1</v>
      </c>
      <c r="O426" s="3" t="str">
        <f aca="false">IF(AND(B426=4,M426=1),IF(N426&lt;0.8,"Subgrupo 7 dias; fronteira de cluster","Subgrupo 7 dias"),IF(N426&lt;0.8,"Fronteira de cluster",""))</f>
        <v/>
      </c>
    </row>
    <row r="427" customFormat="false" ht="15" hidden="false" customHeight="false" outlineLevel="0" collapsed="false">
      <c r="A427" s="14" t="n">
        <v>426</v>
      </c>
      <c r="B427" s="14" t="n">
        <v>0</v>
      </c>
      <c r="C427" s="14" t="s">
        <v>29</v>
      </c>
      <c r="D427" s="15" t="n">
        <v>5068.39666238768</v>
      </c>
      <c r="E427" s="16" t="n">
        <f aca="false">INDEX(Parâmetros!$C$33:$C$37,MATCH(B427,Parâmetros!$A$33:$A$37,0))</f>
        <v>5476.37033462034</v>
      </c>
      <c r="F427" s="7" t="n">
        <f aca="false">MAX(0,(E427-D427)/D427)</f>
        <v>0.0804936352476535</v>
      </c>
      <c r="G427" s="7" t="n">
        <f aca="false">MIN(K427*Parâmetros!$B$19,Parâmetros!$B$8)</f>
        <v>0.0489582503777654</v>
      </c>
      <c r="H427" s="3" t="str">
        <f aca="false">IF(F427&gt;=Parâmetros!$B$6,"Ação","Acompanhamento")</f>
        <v>Acompanhamento</v>
      </c>
      <c r="I427" s="17" t="n">
        <v>301.841825902336</v>
      </c>
      <c r="J427" s="11" t="n">
        <f aca="false">D427*I427</f>
        <v>1529854.1029724</v>
      </c>
      <c r="K427" s="7" t="n">
        <f aca="false">Parâmetros!$B$4+Parâmetros!$B$5*F427</f>
        <v>0.0401234088119134</v>
      </c>
      <c r="L427" s="11" t="n">
        <f aca="false">D427*(1+G427)</f>
        <v>5316.53649519868</v>
      </c>
      <c r="M427" s="14" t="n">
        <v>0</v>
      </c>
      <c r="N427" s="4" t="n">
        <v>0.986486486486486</v>
      </c>
      <c r="O427" s="3" t="str">
        <f aca="false">IF(AND(B427=4,M427=1),IF(N427&lt;0.8,"Subgrupo 7 dias; fronteira de cluster","Subgrupo 7 dias"),IF(N427&lt;0.8,"Fronteira de cluster",""))</f>
        <v/>
      </c>
    </row>
    <row r="428" customFormat="false" ht="15" hidden="false" customHeight="false" outlineLevel="0" collapsed="false">
      <c r="A428" s="14" t="n">
        <v>427</v>
      </c>
      <c r="B428" s="14" t="n">
        <v>0</v>
      </c>
      <c r="C428" s="14" t="s">
        <v>29</v>
      </c>
      <c r="D428" s="15" t="n">
        <v>7643.24398073836</v>
      </c>
      <c r="E428" s="16" t="n">
        <f aca="false">INDEX(Parâmetros!$C$33:$C$37,MATCH(B428,Parâmetros!$A$33:$A$37,0))</f>
        <v>5476.37033462034</v>
      </c>
      <c r="F428" s="7" t="n">
        <f aca="false">MAX(0,(E428-D428)/D428)</f>
        <v>0</v>
      </c>
      <c r="G428" s="7" t="n">
        <f aca="false">MIN(K428*Parâmetros!$B$19,Parâmetros!$B$8)</f>
        <v>0.0244038339849275</v>
      </c>
      <c r="H428" s="3" t="str">
        <f aca="false">IF(F428&gt;=Parâmetros!$B$6,"Ação","Acompanhamento")</f>
        <v>Acompanhamento</v>
      </c>
      <c r="I428" s="17" t="n">
        <v>299.993403693931</v>
      </c>
      <c r="J428" s="11" t="n">
        <f aca="false">D428*I428</f>
        <v>2292922.77704485</v>
      </c>
      <c r="K428" s="7" t="n">
        <f aca="false">Parâmetros!$B$4+Parâmetros!$B$5*F428</f>
        <v>0.02</v>
      </c>
      <c r="L428" s="11" t="n">
        <f aca="false">D428*(1+G428)</f>
        <v>7829.7684379506</v>
      </c>
      <c r="M428" s="14" t="n">
        <v>0</v>
      </c>
      <c r="N428" s="4" t="n">
        <v>0.98780487804878</v>
      </c>
      <c r="O428" s="3" t="str">
        <f aca="false">IF(AND(B428=4,M428=1),IF(N428&lt;0.8,"Subgrupo 7 dias; fronteira de cluster","Subgrupo 7 dias"),IF(N428&lt;0.8,"Fronteira de cluster",""))</f>
        <v/>
      </c>
    </row>
    <row r="429" customFormat="false" ht="15" hidden="false" customHeight="false" outlineLevel="0" collapsed="false">
      <c r="A429" s="14" t="n">
        <v>428</v>
      </c>
      <c r="B429" s="14" t="n">
        <v>1</v>
      </c>
      <c r="C429" s="14" t="s">
        <v>30</v>
      </c>
      <c r="D429" s="15" t="n">
        <v>6287.50482315113</v>
      </c>
      <c r="E429" s="16" t="n">
        <f aca="false">INDEX(Parâmetros!$C$33:$C$37,MATCH(B429,Parâmetros!$A$33:$A$37,0))</f>
        <v>6959.92435130262</v>
      </c>
      <c r="F429" s="7" t="n">
        <f aca="false">MAX(0,(E429-D429)/D429)</f>
        <v>0.106945369755518</v>
      </c>
      <c r="G429" s="7" t="n">
        <f aca="false">MIN(K429*Parâmetros!$B$19,Parâmetros!$B$8)</f>
        <v>0.0570272970970566</v>
      </c>
      <c r="H429" s="3" t="str">
        <f aca="false">IF(F429&gt;=Parâmetros!$B$6,"Ação","Acompanhamento")</f>
        <v>Ação</v>
      </c>
      <c r="I429" s="17" t="n">
        <v>299.511873350924</v>
      </c>
      <c r="J429" s="11" t="n">
        <f aca="false">D429*I429</f>
        <v>1883182.34828496</v>
      </c>
      <c r="K429" s="7" t="n">
        <f aca="false">Parâmetros!$B$4+Parâmetros!$B$5*F429</f>
        <v>0.0467363424388794</v>
      </c>
      <c r="L429" s="11" t="n">
        <f aca="false">D429*(1+G429)</f>
        <v>6646.06422870014</v>
      </c>
      <c r="M429" s="14" t="n">
        <v>0</v>
      </c>
      <c r="N429" s="4" t="n">
        <v>1</v>
      </c>
      <c r="O429" s="3" t="str">
        <f aca="false">IF(AND(B429=4,M429=1),IF(N429&lt;0.8,"Subgrupo 7 dias; fronteira de cluster","Subgrupo 7 dias"),IF(N429&lt;0.8,"Fronteira de cluster",""))</f>
        <v/>
      </c>
    </row>
    <row r="430" customFormat="false" ht="15" hidden="false" customHeight="false" outlineLevel="0" collapsed="false">
      <c r="A430" s="14" t="n">
        <v>429</v>
      </c>
      <c r="B430" s="14" t="n">
        <v>1</v>
      </c>
      <c r="C430" s="14" t="s">
        <v>30</v>
      </c>
      <c r="D430" s="15" t="n">
        <v>5321.14469453376</v>
      </c>
      <c r="E430" s="16" t="n">
        <f aca="false">INDEX(Parâmetros!$C$33:$C$37,MATCH(B430,Parâmetros!$A$33:$A$37,0))</f>
        <v>6959.92435130262</v>
      </c>
      <c r="F430" s="7" t="n">
        <f aca="false">MAX(0,(E430-D430)/D430)</f>
        <v>0.307975022451903</v>
      </c>
      <c r="G430" s="7" t="n">
        <f aca="false">MIN(K430*Parâmetros!$B$19,Parâmetros!$B$8)</f>
        <v>0.118350975477684</v>
      </c>
      <c r="H430" s="3" t="str">
        <f aca="false">IF(F430&gt;=Parâmetros!$B$6,"Ação","Acompanhamento")</f>
        <v>Ação</v>
      </c>
      <c r="I430" s="17" t="n">
        <v>299.511873350924</v>
      </c>
      <c r="J430" s="11" t="n">
        <f aca="false">D430*I430</f>
        <v>1593746.01583113</v>
      </c>
      <c r="K430" s="7" t="n">
        <f aca="false">Parâmetros!$B$4+Parâmetros!$B$5*F430</f>
        <v>0.0969937556129757</v>
      </c>
      <c r="L430" s="11" t="n">
        <f aca="false">D430*(1+G430)</f>
        <v>5950.90735978974</v>
      </c>
      <c r="M430" s="14" t="n">
        <v>0</v>
      </c>
      <c r="N430" s="4" t="n">
        <v>1</v>
      </c>
      <c r="O430" s="3" t="str">
        <f aca="false">IF(AND(B430=4,M430=1),IF(N430&lt;0.8,"Subgrupo 7 dias; fronteira de cluster","Subgrupo 7 dias"),IF(N430&lt;0.8,"Fronteira de cluster",""))</f>
        <v/>
      </c>
    </row>
    <row r="431" customFormat="false" ht="15" hidden="false" customHeight="false" outlineLevel="0" collapsed="false">
      <c r="A431" s="14" t="n">
        <v>430</v>
      </c>
      <c r="B431" s="14" t="n">
        <v>1</v>
      </c>
      <c r="C431" s="14" t="s">
        <v>30</v>
      </c>
      <c r="D431" s="15" t="n">
        <v>8632.47106109325</v>
      </c>
      <c r="E431" s="16" t="n">
        <f aca="false">INDEX(Parâmetros!$C$33:$C$37,MATCH(B431,Parâmetros!$A$33:$A$37,0))</f>
        <v>6959.92435130262</v>
      </c>
      <c r="F431" s="7" t="n">
        <f aca="false">MAX(0,(E431-D431)/D431)</f>
        <v>0</v>
      </c>
      <c r="G431" s="7" t="n">
        <f aca="false">MIN(K431*Parâmetros!$B$19,Parâmetros!$B$8)</f>
        <v>0.0244038339849275</v>
      </c>
      <c r="H431" s="3" t="str">
        <f aca="false">IF(F431&gt;=Parâmetros!$B$6,"Ação","Acompanhamento")</f>
        <v>Acompanhamento</v>
      </c>
      <c r="I431" s="17" t="n">
        <v>299.511873350924</v>
      </c>
      <c r="J431" s="11" t="n">
        <f aca="false">D431*I431</f>
        <v>2585527.57915567</v>
      </c>
      <c r="K431" s="7" t="n">
        <f aca="false">Parâmetros!$B$4+Parâmetros!$B$5*F431</f>
        <v>0.02</v>
      </c>
      <c r="L431" s="11" t="n">
        <f aca="false">D431*(1+G431)</f>
        <v>8843.13645174786</v>
      </c>
      <c r="M431" s="14" t="n">
        <v>0</v>
      </c>
      <c r="N431" s="4" t="n">
        <v>1</v>
      </c>
      <c r="O431" s="3" t="str">
        <f aca="false">IF(AND(B431=4,M431=1),IF(N431&lt;0.8,"Subgrupo 7 dias; fronteira de cluster","Subgrupo 7 dias"),IF(N431&lt;0.8,"Fronteira de cluster",""))</f>
        <v/>
      </c>
    </row>
    <row r="432" customFormat="false" ht="15" hidden="false" customHeight="false" outlineLevel="0" collapsed="false">
      <c r="A432" s="14" t="n">
        <v>431</v>
      </c>
      <c r="B432" s="14" t="n">
        <v>4</v>
      </c>
      <c r="C432" s="14" t="s">
        <v>33</v>
      </c>
      <c r="D432" s="15" t="n">
        <v>9524.92682926829</v>
      </c>
      <c r="E432" s="16" t="n">
        <f aca="false">INDEX(Parâmetros!$C$33:$C$37,MATCH(B432,Parâmetros!$A$33:$A$37,0))</f>
        <v>8837.10512820513</v>
      </c>
      <c r="F432" s="7" t="n">
        <f aca="false">MAX(0,(E432-D432)/D432)</f>
        <v>0</v>
      </c>
      <c r="G432" s="7" t="n">
        <f aca="false">MIN(K432*Parâmetros!$B$19,Parâmetros!$B$8)</f>
        <v>0.0244038339849275</v>
      </c>
      <c r="H432" s="3" t="str">
        <f aca="false">IF(F432&gt;=Parâmetros!$B$6,"Ação","Acompanhamento")</f>
        <v>Acompanhamento</v>
      </c>
      <c r="I432" s="17" t="n">
        <v>301.841825902336</v>
      </c>
      <c r="J432" s="11" t="n">
        <f aca="false">D432*I432</f>
        <v>2875021.30573248</v>
      </c>
      <c r="K432" s="7" t="n">
        <f aca="false">Parâmetros!$B$4+Parâmetros!$B$5*F432</f>
        <v>0.02</v>
      </c>
      <c r="L432" s="11" t="n">
        <f aca="false">D432*(1+G432)</f>
        <v>9757.37156232834</v>
      </c>
      <c r="M432" s="14" t="n">
        <v>0</v>
      </c>
      <c r="N432" s="4" t="n">
        <v>0.395061728395062</v>
      </c>
      <c r="O432" s="3" t="str">
        <f aca="false">IF(AND(B432=4,M432=1),IF(N432&lt;0.8,"Subgrupo 7 dias; fronteira de cluster","Subgrupo 7 dias"),IF(N432&lt;0.8,"Fronteira de cluster",""))</f>
        <v>Fronteira de cluster</v>
      </c>
    </row>
    <row r="433" customFormat="false" ht="15" hidden="false" customHeight="false" outlineLevel="0" collapsed="false">
      <c r="A433" s="14" t="n">
        <v>432</v>
      </c>
      <c r="B433" s="14" t="n">
        <v>4</v>
      </c>
      <c r="C433" s="14" t="s">
        <v>33</v>
      </c>
      <c r="D433" s="15" t="n">
        <v>10982.8711734694</v>
      </c>
      <c r="E433" s="16" t="n">
        <f aca="false">INDEX(Parâmetros!$C$33:$C$37,MATCH(B433,Parâmetros!$A$33:$A$37,0))</f>
        <v>8837.10512820513</v>
      </c>
      <c r="F433" s="7" t="n">
        <f aca="false">MAX(0,(E433-D433)/D433)</f>
        <v>0</v>
      </c>
      <c r="G433" s="7" t="n">
        <f aca="false">MIN(K433*Parâmetros!$B$19,Parâmetros!$B$8)</f>
        <v>0.0244038339849275</v>
      </c>
      <c r="H433" s="3" t="str">
        <f aca="false">IF(F433&gt;=Parâmetros!$B$6,"Ação","Acompanhamento")</f>
        <v>Acompanhamento</v>
      </c>
      <c r="I433" s="17" t="n">
        <v>303.779193205945</v>
      </c>
      <c r="J433" s="11" t="n">
        <f aca="false">D433*I433</f>
        <v>3336367.74416136</v>
      </c>
      <c r="K433" s="7" t="n">
        <f aca="false">Parâmetros!$B$4+Parâmetros!$B$5*F433</f>
        <v>0.02</v>
      </c>
      <c r="L433" s="11" t="n">
        <f aca="false">D433*(1+G433)</f>
        <v>11250.8953382646</v>
      </c>
      <c r="M433" s="14" t="n">
        <v>0</v>
      </c>
      <c r="N433" s="4" t="n">
        <v>1</v>
      </c>
      <c r="O433" s="3" t="str">
        <f aca="false">IF(AND(B433=4,M433=1),IF(N433&lt;0.8,"Subgrupo 7 dias; fronteira de cluster","Subgrupo 7 dias"),IF(N433&lt;0.8,"Fronteira de cluster",""))</f>
        <v/>
      </c>
    </row>
    <row r="434" customFormat="false" ht="15" hidden="false" customHeight="false" outlineLevel="0" collapsed="false">
      <c r="A434" s="14" t="n">
        <v>433</v>
      </c>
      <c r="B434" s="14" t="n">
        <v>3</v>
      </c>
      <c r="C434" s="14" t="s">
        <v>32</v>
      </c>
      <c r="D434" s="15" t="n">
        <v>5360.86542923434</v>
      </c>
      <c r="E434" s="16" t="n">
        <f aca="false">INDEX(Parâmetros!$C$33:$C$37,MATCH(B434,Parâmetros!$A$33:$A$37,0))</f>
        <v>5909.24487179487</v>
      </c>
      <c r="F434" s="7" t="n">
        <f aca="false">MAX(0,(E434-D434)/D434)</f>
        <v>0.102293081182389</v>
      </c>
      <c r="G434" s="7" t="n">
        <f aca="false">MIN(K434*Parâmetros!$B$19,Parâmetros!$B$8)</f>
        <v>0.0556081261221992</v>
      </c>
      <c r="H434" s="3" t="str">
        <f aca="false">IF(F434&gt;=Parâmetros!$B$6,"Ação","Acompanhamento")</f>
        <v>Ação</v>
      </c>
      <c r="I434" s="17" t="n">
        <v>334.002123142251</v>
      </c>
      <c r="J434" s="11" t="n">
        <f aca="false">D434*I434</f>
        <v>1790540.43524416</v>
      </c>
      <c r="K434" s="7" t="n">
        <f aca="false">Parâmetros!$B$4+Parâmetros!$B$5*F434</f>
        <v>0.0455732702955973</v>
      </c>
      <c r="L434" s="11" t="n">
        <f aca="false">D434*(1+G434)</f>
        <v>5658.97311014734</v>
      </c>
      <c r="M434" s="14" t="n">
        <v>1</v>
      </c>
      <c r="N434" s="4" t="n">
        <v>1</v>
      </c>
      <c r="O434" s="3" t="str">
        <f aca="false">IF(AND(B434=4,M434=1),IF(N434&lt;0.8,"Subgrupo 7 dias; fronteira de cluster","Subgrupo 7 dias"),IF(N434&lt;0.8,"Fronteira de cluster",""))</f>
        <v/>
      </c>
    </row>
    <row r="435" customFormat="false" ht="15" hidden="false" customHeight="false" outlineLevel="0" collapsed="false">
      <c r="A435" s="14" t="n">
        <v>434</v>
      </c>
      <c r="B435" s="14" t="n">
        <v>1</v>
      </c>
      <c r="C435" s="14" t="s">
        <v>30</v>
      </c>
      <c r="D435" s="15" t="n">
        <v>9904.8231511254</v>
      </c>
      <c r="E435" s="16" t="n">
        <f aca="false">INDEX(Parâmetros!$C$33:$C$37,MATCH(B435,Parâmetros!$A$33:$A$37,0))</f>
        <v>6959.92435130262</v>
      </c>
      <c r="F435" s="7" t="n">
        <f aca="false">MAX(0,(E435-D435)/D435)</f>
        <v>0</v>
      </c>
      <c r="G435" s="7" t="n">
        <f aca="false">MIN(K435*Parâmetros!$B$19,Parâmetros!$B$8)</f>
        <v>0.0244038339849275</v>
      </c>
      <c r="H435" s="3" t="str">
        <f aca="false">IF(F435&gt;=Parâmetros!$B$6,"Ação","Acompanhamento")</f>
        <v>Acompanhamento</v>
      </c>
      <c r="I435" s="17" t="n">
        <v>299.511873350924</v>
      </c>
      <c r="J435" s="11" t="n">
        <f aca="false">D435*I435</f>
        <v>2966612.13720317</v>
      </c>
      <c r="K435" s="7" t="n">
        <f aca="false">Parâmetros!$B$4+Parâmetros!$B$5*F435</f>
        <v>0.02</v>
      </c>
      <c r="L435" s="11" t="n">
        <f aca="false">D435*(1+G435)</f>
        <v>10146.5388109555</v>
      </c>
      <c r="M435" s="14" t="n">
        <v>0</v>
      </c>
      <c r="N435" s="4" t="n">
        <v>1</v>
      </c>
      <c r="O435" s="3" t="str">
        <f aca="false">IF(AND(B435=4,M435=1),IF(N435&lt;0.8,"Subgrupo 7 dias; fronteira de cluster","Subgrupo 7 dias"),IF(N435&lt;0.8,"Fronteira de cluster",""))</f>
        <v/>
      </c>
    </row>
    <row r="436" customFormat="false" ht="15" hidden="false" customHeight="false" outlineLevel="0" collapsed="false">
      <c r="A436" s="14" t="n">
        <v>435</v>
      </c>
      <c r="B436" s="14" t="n">
        <v>0</v>
      </c>
      <c r="C436" s="14" t="s">
        <v>29</v>
      </c>
      <c r="D436" s="15" t="n">
        <v>3277.6919127086</v>
      </c>
      <c r="E436" s="16" t="n">
        <f aca="false">INDEX(Parâmetros!$C$33:$C$37,MATCH(B436,Parâmetros!$A$33:$A$37,0))</f>
        <v>5476.37033462034</v>
      </c>
      <c r="F436" s="7" t="n">
        <f aca="false">MAX(0,(E436-D436)/D436)</f>
        <v>0.67080081974355</v>
      </c>
      <c r="G436" s="7" t="n">
        <f aca="false">MIN(K436*Parâmetros!$B$19,Parâmetros!$B$8)</f>
        <v>0.2</v>
      </c>
      <c r="H436" s="3" t="str">
        <f aca="false">IF(F436&gt;=Parâmetros!$B$6,"Ação","Acompanhamento")</f>
        <v>Ação</v>
      </c>
      <c r="I436" s="17" t="n">
        <v>301.841825902336</v>
      </c>
      <c r="J436" s="11" t="n">
        <f aca="false">D436*I436</f>
        <v>989344.511677283</v>
      </c>
      <c r="K436" s="7" t="n">
        <f aca="false">Parâmetros!$B$4+Parâmetros!$B$5*F436</f>
        <v>0.187700204935887</v>
      </c>
      <c r="L436" s="11" t="n">
        <f aca="false">D436*(1+G436)</f>
        <v>3933.23029525032</v>
      </c>
      <c r="M436" s="14" t="n">
        <v>0</v>
      </c>
      <c r="N436" s="4" t="n">
        <v>1</v>
      </c>
      <c r="O436" s="3" t="str">
        <f aca="false">IF(AND(B436=4,M436=1),IF(N436&lt;0.8,"Subgrupo 7 dias; fronteira de cluster","Subgrupo 7 dias"),IF(N436&lt;0.8,"Fronteira de cluster",""))</f>
        <v/>
      </c>
    </row>
    <row r="437" customFormat="false" ht="15" hidden="false" customHeight="false" outlineLevel="0" collapsed="false">
      <c r="A437" s="14" t="n">
        <v>436</v>
      </c>
      <c r="B437" s="14" t="n">
        <v>0</v>
      </c>
      <c r="C437" s="14" t="s">
        <v>29</v>
      </c>
      <c r="D437" s="15" t="n">
        <v>5509.48461538462</v>
      </c>
      <c r="E437" s="16" t="n">
        <f aca="false">INDEX(Parâmetros!$C$33:$C$37,MATCH(B437,Parâmetros!$A$33:$A$37,0))</f>
        <v>5476.37033462034</v>
      </c>
      <c r="F437" s="7" t="n">
        <f aca="false">MAX(0,(E437-D437)/D437)</f>
        <v>0</v>
      </c>
      <c r="G437" s="7" t="n">
        <f aca="false">MIN(K437*Parâmetros!$B$19,Parâmetros!$B$8)</f>
        <v>0.0244038339849275</v>
      </c>
      <c r="H437" s="3" t="str">
        <f aca="false">IF(F437&gt;=Parâmetros!$B$6,"Ação","Acompanhamento")</f>
        <v>Acompanhamento</v>
      </c>
      <c r="I437" s="17" t="n">
        <v>302.229299363057</v>
      </c>
      <c r="J437" s="11" t="n">
        <f aca="false">D437*I437</f>
        <v>1665127.67515924</v>
      </c>
      <c r="K437" s="7" t="n">
        <f aca="false">Parâmetros!$B$4+Parâmetros!$B$5*F437</f>
        <v>0.02</v>
      </c>
      <c r="L437" s="11" t="n">
        <f aca="false">D437*(1+G437)</f>
        <v>5643.93716328097</v>
      </c>
      <c r="M437" s="14" t="n">
        <v>0</v>
      </c>
      <c r="N437" s="4" t="n">
        <v>1</v>
      </c>
      <c r="O437" s="3" t="str">
        <f aca="false">IF(AND(B437=4,M437=1),IF(N437&lt;0.8,"Subgrupo 7 dias; fronteira de cluster","Subgrupo 7 dias"),IF(N437&lt;0.8,"Fronteira de cluster",""))</f>
        <v/>
      </c>
    </row>
    <row r="438" customFormat="false" ht="15" hidden="false" customHeight="false" outlineLevel="0" collapsed="false">
      <c r="A438" s="14" t="n">
        <v>437</v>
      </c>
      <c r="B438" s="14" t="n">
        <v>2</v>
      </c>
      <c r="C438" s="14" t="s">
        <v>31</v>
      </c>
      <c r="D438" s="15" t="n">
        <v>7366.71794871795</v>
      </c>
      <c r="E438" s="16" t="n">
        <f aca="false">INDEX(Parâmetros!$C$33:$C$37,MATCH(B438,Parâmetros!$A$33:$A$37,0))</f>
        <v>6324.80102695764</v>
      </c>
      <c r="F438" s="7" t="n">
        <f aca="false">MAX(0,(E438-D438)/D438)</f>
        <v>0</v>
      </c>
      <c r="G438" s="7" t="n">
        <f aca="false">MIN(K438*Parâmetros!$B$19,Parâmetros!$B$8)</f>
        <v>0.0244038339849275</v>
      </c>
      <c r="H438" s="3" t="str">
        <f aca="false">IF(F438&gt;=Parâmetros!$B$6,"Ação","Acompanhamento")</f>
        <v>Acompanhamento</v>
      </c>
      <c r="I438" s="17" t="n">
        <v>302.229299363057</v>
      </c>
      <c r="J438" s="11" t="n">
        <f aca="false">D438*I438</f>
        <v>2226438.00424628</v>
      </c>
      <c r="K438" s="7" t="n">
        <f aca="false">Parâmetros!$B$4+Parâmetros!$B$5*F438</f>
        <v>0.02</v>
      </c>
      <c r="L438" s="11" t="n">
        <f aca="false">D438*(1+G438)</f>
        <v>7546.49411055225</v>
      </c>
      <c r="M438" s="14" t="n">
        <v>0</v>
      </c>
      <c r="N438" s="4" t="n">
        <v>1</v>
      </c>
      <c r="O438" s="3" t="str">
        <f aca="false">IF(AND(B438=4,M438=1),IF(N438&lt;0.8,"Subgrupo 7 dias; fronteira de cluster","Subgrupo 7 dias"),IF(N438&lt;0.8,"Fronteira de cluster",""))</f>
        <v/>
      </c>
    </row>
    <row r="439" customFormat="false" ht="15" hidden="false" customHeight="false" outlineLevel="0" collapsed="false">
      <c r="A439" s="14" t="n">
        <v>438</v>
      </c>
      <c r="B439" s="14" t="n">
        <v>3</v>
      </c>
      <c r="C439" s="14" t="s">
        <v>32</v>
      </c>
      <c r="D439" s="15" t="n">
        <v>5153.72307692308</v>
      </c>
      <c r="E439" s="16" t="n">
        <f aca="false">INDEX(Parâmetros!$C$33:$C$37,MATCH(B439,Parâmetros!$A$33:$A$37,0))</f>
        <v>5909.24487179487</v>
      </c>
      <c r="F439" s="7" t="n">
        <f aca="false">MAX(0,(E439-D439)/D439)</f>
        <v>0.14659728192514</v>
      </c>
      <c r="G439" s="7" t="n">
        <f aca="false">MIN(K439*Parâmetros!$B$19,Parâmetros!$B$8)</f>
        <v>0.0691230306192116</v>
      </c>
      <c r="H439" s="3" t="str">
        <f aca="false">IF(F439&gt;=Parâmetros!$B$6,"Ação","Acompanhamento")</f>
        <v>Ação</v>
      </c>
      <c r="I439" s="17" t="n">
        <v>302.229299363057</v>
      </c>
      <c r="J439" s="11" t="n">
        <f aca="false">D439*I439</f>
        <v>1557606.11464968</v>
      </c>
      <c r="K439" s="7" t="n">
        <f aca="false">Parâmetros!$B$4+Parâmetros!$B$5*F439</f>
        <v>0.0566493204812851</v>
      </c>
      <c r="L439" s="11" t="n">
        <f aca="false">D439*(1+G439)</f>
        <v>5509.96403497217</v>
      </c>
      <c r="M439" s="14" t="n">
        <v>0</v>
      </c>
      <c r="N439" s="4" t="n">
        <v>0.963855421686747</v>
      </c>
      <c r="O439" s="3" t="str">
        <f aca="false">IF(AND(B439=4,M439=1),IF(N439&lt;0.8,"Subgrupo 7 dias; fronteira de cluster","Subgrupo 7 dias"),IF(N439&lt;0.8,"Fronteira de cluster",""))</f>
        <v/>
      </c>
    </row>
    <row r="440" customFormat="false" ht="15" hidden="false" customHeight="false" outlineLevel="0" collapsed="false">
      <c r="A440" s="14" t="n">
        <v>439</v>
      </c>
      <c r="B440" s="14" t="n">
        <v>0</v>
      </c>
      <c r="C440" s="14" t="s">
        <v>29</v>
      </c>
      <c r="D440" s="15" t="n">
        <v>7294.94260204082</v>
      </c>
      <c r="E440" s="16" t="n">
        <f aca="false">INDEX(Parâmetros!$C$33:$C$37,MATCH(B440,Parâmetros!$A$33:$A$37,0))</f>
        <v>5476.37033462034</v>
      </c>
      <c r="F440" s="7" t="n">
        <f aca="false">MAX(0,(E440-D440)/D440)</f>
        <v>0</v>
      </c>
      <c r="G440" s="7" t="n">
        <f aca="false">MIN(K440*Parâmetros!$B$19,Parâmetros!$B$8)</f>
        <v>0.0244038339849275</v>
      </c>
      <c r="H440" s="3" t="str">
        <f aca="false">IF(F440&gt;=Parâmetros!$B$6,"Ação","Acompanhamento")</f>
        <v>Acompanhamento</v>
      </c>
      <c r="I440" s="17" t="n">
        <v>303.779193205945</v>
      </c>
      <c r="J440" s="11" t="n">
        <f aca="false">D440*I440</f>
        <v>2216051.77813164</v>
      </c>
      <c r="K440" s="7" t="n">
        <f aca="false">Parâmetros!$B$4+Parâmetros!$B$5*F440</f>
        <v>0.02</v>
      </c>
      <c r="L440" s="11" t="n">
        <f aca="false">D440*(1+G440)</f>
        <v>7472.9671702306</v>
      </c>
      <c r="M440" s="14" t="n">
        <v>0</v>
      </c>
      <c r="N440" s="4" t="n">
        <v>0.986666666666667</v>
      </c>
      <c r="O440" s="3" t="str">
        <f aca="false">IF(AND(B440=4,M440=1),IF(N440&lt;0.8,"Subgrupo 7 dias; fronteira de cluster","Subgrupo 7 dias"),IF(N440&lt;0.8,"Fronteira de cluster",""))</f>
        <v/>
      </c>
    </row>
    <row r="441" customFormat="false" ht="15" hidden="false" customHeight="false" outlineLevel="0" collapsed="false">
      <c r="A441" s="14" t="n">
        <v>440</v>
      </c>
      <c r="B441" s="14" t="n">
        <v>0</v>
      </c>
      <c r="C441" s="14" t="s">
        <v>29</v>
      </c>
      <c r="D441" s="15" t="n">
        <v>5156.07850707851</v>
      </c>
      <c r="E441" s="16" t="n">
        <f aca="false">INDEX(Parâmetros!$C$33:$C$37,MATCH(B441,Parâmetros!$A$33:$A$37,0))</f>
        <v>5476.37033462034</v>
      </c>
      <c r="F441" s="7" t="n">
        <f aca="false">MAX(0,(E441-D441)/D441)</f>
        <v>0.0621192689564591</v>
      </c>
      <c r="G441" s="7" t="n">
        <f aca="false">MIN(K441*Parâmetros!$B$19,Parâmetros!$B$8)</f>
        <v>0.0433531880709085</v>
      </c>
      <c r="H441" s="3" t="str">
        <f aca="false">IF(F441&gt;=Parâmetros!$B$6,"Ação","Acompanhamento")</f>
        <v>Acompanhamento</v>
      </c>
      <c r="I441" s="17" t="n">
        <v>301.066878980892</v>
      </c>
      <c r="J441" s="11" t="n">
        <f aca="false">D441*I441</f>
        <v>1552324.46390658</v>
      </c>
      <c r="K441" s="7" t="n">
        <f aca="false">Parâmetros!$B$4+Parâmetros!$B$5*F441</f>
        <v>0.0355298172391148</v>
      </c>
      <c r="L441" s="11" t="n">
        <f aca="false">D441*(1+G441)</f>
        <v>5379.61094830425</v>
      </c>
      <c r="M441" s="14" t="n">
        <v>0</v>
      </c>
      <c r="N441" s="4" t="n">
        <v>1</v>
      </c>
      <c r="O441" s="3" t="str">
        <f aca="false">IF(AND(B441=4,M441=1),IF(N441&lt;0.8,"Subgrupo 7 dias; fronteira de cluster","Subgrupo 7 dias"),IF(N441&lt;0.8,"Fronteira de cluster",""))</f>
        <v/>
      </c>
    </row>
    <row r="442" customFormat="false" ht="15" hidden="false" customHeight="false" outlineLevel="0" collapsed="false">
      <c r="A442" s="14" t="n">
        <v>441</v>
      </c>
      <c r="B442" s="14" t="n">
        <v>1</v>
      </c>
      <c r="C442" s="14" t="s">
        <v>30</v>
      </c>
      <c r="D442" s="15" t="n">
        <v>6328.35173299101</v>
      </c>
      <c r="E442" s="16" t="n">
        <f aca="false">INDEX(Parâmetros!$C$33:$C$37,MATCH(B442,Parâmetros!$A$33:$A$37,0))</f>
        <v>6959.92435130262</v>
      </c>
      <c r="F442" s="7" t="n">
        <f aca="false">MAX(0,(E442-D442)/D442)</f>
        <v>0.0998004922860226</v>
      </c>
      <c r="G442" s="7" t="n">
        <f aca="false">MIN(K442*Parâmetros!$B$19,Parâmetros!$B$8)</f>
        <v>0.0548477670519541</v>
      </c>
      <c r="H442" s="3" t="str">
        <f aca="false">IF(F442&gt;=Parâmetros!$B$6,"Ação","Acompanhamento")</f>
        <v>Acompanhamento</v>
      </c>
      <c r="I442" s="17" t="n">
        <v>301.841825902336</v>
      </c>
      <c r="J442" s="11" t="n">
        <f aca="false">D442*I442</f>
        <v>1910161.24203822</v>
      </c>
      <c r="K442" s="7" t="n">
        <f aca="false">Parâmetros!$B$4+Parâmetros!$B$5*F442</f>
        <v>0.0449501230715057</v>
      </c>
      <c r="L442" s="11" t="n">
        <f aca="false">D442*(1+G442)</f>
        <v>6675.44769466494</v>
      </c>
      <c r="M442" s="14" t="n">
        <v>0</v>
      </c>
      <c r="N442" s="4" t="n">
        <v>0.948717948717949</v>
      </c>
      <c r="O442" s="3" t="str">
        <f aca="false">IF(AND(B442=4,M442=1),IF(N442&lt;0.8,"Subgrupo 7 dias; fronteira de cluster","Subgrupo 7 dias"),IF(N442&lt;0.8,"Fronteira de cluster",""))</f>
        <v/>
      </c>
    </row>
    <row r="443" customFormat="false" ht="15" hidden="false" customHeight="false" outlineLevel="0" collapsed="false">
      <c r="A443" s="14" t="n">
        <v>442</v>
      </c>
      <c r="B443" s="14" t="n">
        <v>0</v>
      </c>
      <c r="C443" s="14" t="s">
        <v>29</v>
      </c>
      <c r="D443" s="15" t="n">
        <v>4379.13384813385</v>
      </c>
      <c r="E443" s="16" t="n">
        <f aca="false">INDEX(Parâmetros!$C$33:$C$37,MATCH(B443,Parâmetros!$A$33:$A$37,0))</f>
        <v>5476.37033462034</v>
      </c>
      <c r="F443" s="7" t="n">
        <f aca="false">MAX(0,(E443-D443)/D443)</f>
        <v>0.2505601620179</v>
      </c>
      <c r="G443" s="7" t="n">
        <f aca="false">MIN(K443*Parâmetros!$B$19,Parâmetros!$B$8)</f>
        <v>0.100836691448944</v>
      </c>
      <c r="H443" s="3" t="str">
        <f aca="false">IF(F443&gt;=Parâmetros!$B$6,"Ação","Acompanhamento")</f>
        <v>Ação</v>
      </c>
      <c r="I443" s="17" t="n">
        <v>301.066878980892</v>
      </c>
      <c r="J443" s="11" t="n">
        <f aca="false">D443*I443</f>
        <v>1318412.16029724</v>
      </c>
      <c r="K443" s="7" t="n">
        <f aca="false">Parâmetros!$B$4+Parâmetros!$B$5*F443</f>
        <v>0.082640040504475</v>
      </c>
      <c r="L443" s="11" t="n">
        <f aca="false">D443*(1+G443)</f>
        <v>4820.71121679175</v>
      </c>
      <c r="M443" s="14" t="n">
        <v>0</v>
      </c>
      <c r="N443" s="4" t="n">
        <v>1</v>
      </c>
      <c r="O443" s="3" t="str">
        <f aca="false">IF(AND(B443=4,M443=1),IF(N443&lt;0.8,"Subgrupo 7 dias; fronteira de cluster","Subgrupo 7 dias"),IF(N443&lt;0.8,"Fronteira de cluster",""))</f>
        <v/>
      </c>
    </row>
    <row r="444" customFormat="false" ht="15" hidden="false" customHeight="false" outlineLevel="0" collapsed="false">
      <c r="A444" s="14" t="n">
        <v>443</v>
      </c>
      <c r="B444" s="14" t="n">
        <v>1</v>
      </c>
      <c r="C444" s="14" t="s">
        <v>30</v>
      </c>
      <c r="D444" s="15" t="n">
        <v>5251.09615384615</v>
      </c>
      <c r="E444" s="16" t="n">
        <f aca="false">INDEX(Parâmetros!$C$33:$C$37,MATCH(B444,Parâmetros!$A$33:$A$37,0))</f>
        <v>6959.92435130262</v>
      </c>
      <c r="F444" s="7" t="n">
        <f aca="false">MAX(0,(E444-D444)/D444)</f>
        <v>0.325423139739089</v>
      </c>
      <c r="G444" s="7" t="n">
        <f aca="false">MIN(K444*Parâmetros!$B$19,Parâmetros!$B$8)</f>
        <v>0.123673487448009</v>
      </c>
      <c r="H444" s="3" t="str">
        <f aca="false">IF(F444&gt;=Parâmetros!$B$6,"Ação","Acompanhamento")</f>
        <v>Ação</v>
      </c>
      <c r="I444" s="17" t="n">
        <v>302.229299363057</v>
      </c>
      <c r="J444" s="11" t="n">
        <f aca="false">D444*I444</f>
        <v>1587035.11146497</v>
      </c>
      <c r="K444" s="7" t="n">
        <f aca="false">Parâmetros!$B$4+Parâmetros!$B$5*F444</f>
        <v>0.101355784934772</v>
      </c>
      <c r="L444" s="11" t="n">
        <f aca="false">D444*(1+G444)</f>
        <v>5900.51752811714</v>
      </c>
      <c r="M444" s="14" t="n">
        <v>0</v>
      </c>
      <c r="N444" s="4" t="n">
        <v>0.908045977011494</v>
      </c>
      <c r="O444" s="3" t="str">
        <f aca="false">IF(AND(B444=4,M444=1),IF(N444&lt;0.8,"Subgrupo 7 dias; fronteira de cluster","Subgrupo 7 dias"),IF(N444&lt;0.8,"Fronteira de cluster",""))</f>
        <v/>
      </c>
    </row>
    <row r="445" customFormat="false" ht="15" hidden="false" customHeight="false" outlineLevel="0" collapsed="false">
      <c r="A445" s="14" t="n">
        <v>444</v>
      </c>
      <c r="B445" s="14" t="n">
        <v>4</v>
      </c>
      <c r="C445" s="14" t="s">
        <v>33</v>
      </c>
      <c r="D445" s="15" t="n">
        <v>12188.7065637066</v>
      </c>
      <c r="E445" s="16" t="n">
        <f aca="false">INDEX(Parâmetros!$C$33:$C$37,MATCH(B445,Parâmetros!$A$33:$A$37,0))</f>
        <v>8837.10512820513</v>
      </c>
      <c r="F445" s="7" t="n">
        <f aca="false">MAX(0,(E445-D445)/D445)</f>
        <v>0</v>
      </c>
      <c r="G445" s="7" t="n">
        <f aca="false">MIN(K445*Parâmetros!$B$19,Parâmetros!$B$8)</f>
        <v>0.0244038339849275</v>
      </c>
      <c r="H445" s="3" t="str">
        <f aca="false">IF(F445&gt;=Parâmetros!$B$6,"Ação","Acompanhamento")</f>
        <v>Acompanhamento</v>
      </c>
      <c r="I445" s="17" t="n">
        <v>301.066878980892</v>
      </c>
      <c r="J445" s="11" t="n">
        <f aca="false">D445*I445</f>
        <v>3669615.84394904</v>
      </c>
      <c r="K445" s="7" t="n">
        <f aca="false">Parâmetros!$B$4+Parâmetros!$B$5*F445</f>
        <v>0.02</v>
      </c>
      <c r="L445" s="11" t="n">
        <f aca="false">D445*(1+G445)</f>
        <v>12486.1577351783</v>
      </c>
      <c r="M445" s="14" t="n">
        <v>0</v>
      </c>
      <c r="N445" s="4" t="n">
        <v>0.530120481927711</v>
      </c>
      <c r="O445" s="3" t="str">
        <f aca="false">IF(AND(B445=4,M445=1),IF(N445&lt;0.8,"Subgrupo 7 dias; fronteira de cluster","Subgrupo 7 dias"),IF(N445&lt;0.8,"Fronteira de cluster",""))</f>
        <v>Fronteira de cluster</v>
      </c>
    </row>
    <row r="446" customFormat="false" ht="15" hidden="false" customHeight="false" outlineLevel="0" collapsed="false">
      <c r="A446" s="14" t="n">
        <v>445</v>
      </c>
      <c r="B446" s="14" t="n">
        <v>4</v>
      </c>
      <c r="C446" s="14" t="s">
        <v>33</v>
      </c>
      <c r="D446" s="15" t="n">
        <v>8600.15077319588</v>
      </c>
      <c r="E446" s="16" t="n">
        <f aca="false">INDEX(Parâmetros!$C$33:$C$37,MATCH(B446,Parâmetros!$A$33:$A$37,0))</f>
        <v>8837.10512820513</v>
      </c>
      <c r="F446" s="7" t="n">
        <f aca="false">MAX(0,(E446-D446)/D446)</f>
        <v>0.0275523489364593</v>
      </c>
      <c r="G446" s="7" t="n">
        <f aca="false">MIN(K446*Parâmetros!$B$19,Parâmetros!$B$8)</f>
        <v>0.0328086208516793</v>
      </c>
      <c r="H446" s="3" t="str">
        <f aca="false">IF(F446&gt;=Parâmetros!$B$6,"Ação","Acompanhamento")</f>
        <v>Acompanhamento</v>
      </c>
      <c r="I446" s="17" t="n">
        <v>300.67940552017</v>
      </c>
      <c r="J446" s="11" t="n">
        <f aca="false">D446*I446</f>
        <v>2585888.22186837</v>
      </c>
      <c r="K446" s="7" t="n">
        <f aca="false">Parâmetros!$B$4+Parâmetros!$B$5*F446</f>
        <v>0.0268880872341148</v>
      </c>
      <c r="L446" s="11" t="n">
        <f aca="false">D446*(1+G446)</f>
        <v>8882.30985918094</v>
      </c>
      <c r="M446" s="14" t="n">
        <v>0</v>
      </c>
      <c r="N446" s="4" t="n">
        <v>0.974683544303797</v>
      </c>
      <c r="O446" s="3" t="str">
        <f aca="false">IF(AND(B446=4,M446=1),IF(N446&lt;0.8,"Subgrupo 7 dias; fronteira de cluster","Subgrupo 7 dias"),IF(N446&lt;0.8,"Fronteira de cluster",""))</f>
        <v/>
      </c>
    </row>
    <row r="447" customFormat="false" ht="15" hidden="false" customHeight="false" outlineLevel="0" collapsed="false">
      <c r="A447" s="14" t="n">
        <v>446</v>
      </c>
      <c r="B447" s="14" t="n">
        <v>0</v>
      </c>
      <c r="C447" s="14" t="s">
        <v>29</v>
      </c>
      <c r="D447" s="15" t="n">
        <v>4932.16559691913</v>
      </c>
      <c r="E447" s="16" t="n">
        <f aca="false">INDEX(Parâmetros!$C$33:$C$37,MATCH(B447,Parâmetros!$A$33:$A$37,0))</f>
        <v>5476.37033462034</v>
      </c>
      <c r="F447" s="7" t="n">
        <f aca="false">MAX(0,(E447-D447)/D447)</f>
        <v>0.110337888500975</v>
      </c>
      <c r="G447" s="7" t="n">
        <f aca="false">MIN(K447*Parâmetros!$B$19,Parâmetros!$B$8)</f>
        <v>0.0580621779002428</v>
      </c>
      <c r="H447" s="3" t="str">
        <f aca="false">IF(F447&gt;=Parâmetros!$B$6,"Ação","Acompanhamento")</f>
        <v>Ação</v>
      </c>
      <c r="I447" s="17" t="n">
        <v>301.841825902336</v>
      </c>
      <c r="J447" s="11" t="n">
        <f aca="false">D447*I447</f>
        <v>1488733.86942675</v>
      </c>
      <c r="K447" s="7" t="n">
        <f aca="false">Parâmetros!$B$4+Parâmetros!$B$5*F447</f>
        <v>0.0475844721252438</v>
      </c>
      <c r="L447" s="11" t="n">
        <f aca="false">D447*(1+G447)</f>
        <v>5218.5378732409</v>
      </c>
      <c r="M447" s="14" t="n">
        <v>0</v>
      </c>
      <c r="N447" s="4" t="n">
        <v>0.988095238095238</v>
      </c>
      <c r="O447" s="3" t="str">
        <f aca="false">IF(AND(B447=4,M447=1),IF(N447&lt;0.8,"Subgrupo 7 dias; fronteira de cluster","Subgrupo 7 dias"),IF(N447&lt;0.8,"Fronteira de cluster",""))</f>
        <v/>
      </c>
    </row>
    <row r="448" customFormat="false" ht="15" hidden="false" customHeight="false" outlineLevel="0" collapsed="false">
      <c r="A448" s="14" t="n">
        <v>447</v>
      </c>
      <c r="B448" s="14" t="n">
        <v>4</v>
      </c>
      <c r="C448" s="14" t="s">
        <v>33</v>
      </c>
      <c r="D448" s="15" t="n">
        <v>5307.62244897959</v>
      </c>
      <c r="E448" s="16" t="n">
        <f aca="false">INDEX(Parâmetros!$C$33:$C$37,MATCH(B448,Parâmetros!$A$33:$A$37,0))</f>
        <v>8837.10512820513</v>
      </c>
      <c r="F448" s="7" t="n">
        <f aca="false">MAX(0,(E448-D448)/D448)</f>
        <v>0.664983749909357</v>
      </c>
      <c r="G448" s="7" t="n">
        <f aca="false">MIN(K448*Parâmetros!$B$19,Parâmetros!$B$8)</f>
        <v>0.2</v>
      </c>
      <c r="H448" s="3" t="str">
        <f aca="false">IF(F448&gt;=Parâmetros!$B$6,"Ação","Acompanhamento")</f>
        <v>Ação</v>
      </c>
      <c r="I448" s="17" t="n">
        <v>303.779193205945</v>
      </c>
      <c r="J448" s="11" t="n">
        <f aca="false">D448*I448</f>
        <v>1612345.26539278</v>
      </c>
      <c r="K448" s="7" t="n">
        <f aca="false">Parâmetros!$B$4+Parâmetros!$B$5*F448</f>
        <v>0.186245937477339</v>
      </c>
      <c r="L448" s="11" t="n">
        <f aca="false">D448*(1+G448)</f>
        <v>6369.14693877551</v>
      </c>
      <c r="M448" s="14" t="n">
        <v>0</v>
      </c>
      <c r="N448" s="4" t="n">
        <v>0.987951807228916</v>
      </c>
      <c r="O448" s="3" t="str">
        <f aca="false">IF(AND(B448=4,M448=1),IF(N448&lt;0.8,"Subgrupo 7 dias; fronteira de cluster","Subgrupo 7 dias"),IF(N448&lt;0.8,"Fronteira de cluster",""))</f>
        <v/>
      </c>
    </row>
    <row r="449" customFormat="false" ht="15" hidden="false" customHeight="false" outlineLevel="0" collapsed="false">
      <c r="A449" s="14" t="n">
        <v>448</v>
      </c>
      <c r="B449" s="14" t="n">
        <v>1</v>
      </c>
      <c r="C449" s="14" t="s">
        <v>30</v>
      </c>
      <c r="D449" s="15" t="n">
        <v>8484.06546854942</v>
      </c>
      <c r="E449" s="16" t="n">
        <f aca="false">INDEX(Parâmetros!$C$33:$C$37,MATCH(B449,Parâmetros!$A$33:$A$37,0))</f>
        <v>6959.92435130262</v>
      </c>
      <c r="F449" s="7" t="n">
        <f aca="false">MAX(0,(E449-D449)/D449)</f>
        <v>0</v>
      </c>
      <c r="G449" s="7" t="n">
        <f aca="false">MIN(K449*Parâmetros!$B$19,Parâmetros!$B$8)</f>
        <v>0.0244038339849275</v>
      </c>
      <c r="H449" s="3" t="str">
        <f aca="false">IF(F449&gt;=Parâmetros!$B$6,"Ação","Acompanhamento")</f>
        <v>Acompanhamento</v>
      </c>
      <c r="I449" s="17" t="n">
        <v>301.841825902336</v>
      </c>
      <c r="J449" s="11" t="n">
        <f aca="false">D449*I449</f>
        <v>2560845.81210191</v>
      </c>
      <c r="K449" s="7" t="n">
        <f aca="false">Parâmetros!$B$4+Parâmetros!$B$5*F449</f>
        <v>0.02</v>
      </c>
      <c r="L449" s="11" t="n">
        <f aca="false">D449*(1+G449)</f>
        <v>8691.10919376116</v>
      </c>
      <c r="M449" s="14" t="n">
        <v>0</v>
      </c>
      <c r="N449" s="4" t="n">
        <v>1</v>
      </c>
      <c r="O449" s="3" t="str">
        <f aca="false">IF(AND(B449=4,M449=1),IF(N449&lt;0.8,"Subgrupo 7 dias; fronteira de cluster","Subgrupo 7 dias"),IF(N449&lt;0.8,"Fronteira de cluster",""))</f>
        <v/>
      </c>
    </row>
    <row r="450" customFormat="false" ht="15" hidden="false" customHeight="false" outlineLevel="0" collapsed="false">
      <c r="A450" s="14" t="n">
        <v>449</v>
      </c>
      <c r="B450" s="14" t="n">
        <v>4</v>
      </c>
      <c r="C450" s="14" t="s">
        <v>33</v>
      </c>
      <c r="D450" s="15" t="n">
        <v>11253.7464788732</v>
      </c>
      <c r="E450" s="16" t="n">
        <f aca="false">INDEX(Parâmetros!$C$33:$C$37,MATCH(B450,Parâmetros!$A$33:$A$37,0))</f>
        <v>8837.10512820513</v>
      </c>
      <c r="F450" s="7" t="n">
        <f aca="false">MAX(0,(E450-D450)/D450)</f>
        <v>0</v>
      </c>
      <c r="G450" s="7" t="n">
        <f aca="false">MIN(K450*Parâmetros!$B$19,Parâmetros!$B$8)</f>
        <v>0.0244038339849275</v>
      </c>
      <c r="H450" s="3" t="str">
        <f aca="false">IF(F450&gt;=Parâmetros!$B$6,"Ação","Acompanhamento")</f>
        <v>Acompanhamento</v>
      </c>
      <c r="I450" s="17" t="n">
        <v>302.616772823779</v>
      </c>
      <c r="J450" s="11" t="n">
        <f aca="false">D450*I450</f>
        <v>3405572.44161359</v>
      </c>
      <c r="K450" s="7" t="n">
        <f aca="false">Parâmetros!$B$4+Parâmetros!$B$5*F450</f>
        <v>0.02</v>
      </c>
      <c r="L450" s="11" t="n">
        <f aca="false">D450*(1+G450)</f>
        <v>11528.3810396521</v>
      </c>
      <c r="M450" s="14" t="n">
        <v>0</v>
      </c>
      <c r="N450" s="4" t="n">
        <v>0.962025316455696</v>
      </c>
      <c r="O450" s="3" t="str">
        <f aca="false">IF(AND(B450=4,M450=1),IF(N450&lt;0.8,"Subgrupo 7 dias; fronteira de cluster","Subgrupo 7 dias"),IF(N450&lt;0.8,"Fronteira de cluster",""))</f>
        <v/>
      </c>
    </row>
    <row r="451" customFormat="false" ht="15" hidden="false" customHeight="false" outlineLevel="0" collapsed="false">
      <c r="A451" s="14" t="n">
        <v>450</v>
      </c>
      <c r="B451" s="14" t="n">
        <v>4</v>
      </c>
      <c r="C451" s="14" t="s">
        <v>33</v>
      </c>
      <c r="D451" s="15" t="n">
        <v>8790.51351351351</v>
      </c>
      <c r="E451" s="16" t="n">
        <f aca="false">INDEX(Parâmetros!$C$33:$C$37,MATCH(B451,Parâmetros!$A$33:$A$37,0))</f>
        <v>8837.10512820513</v>
      </c>
      <c r="F451" s="7" t="n">
        <f aca="false">MAX(0,(E451-D451)/D451)</f>
        <v>0.00530021535374363</v>
      </c>
      <c r="G451" s="7" t="n">
        <f aca="false">MIN(K451*Parâmetros!$B$19,Parâmetros!$B$8)</f>
        <v>0.0260206536796415</v>
      </c>
      <c r="H451" s="3" t="str">
        <f aca="false">IF(F451&gt;=Parâmetros!$B$6,"Ação","Acompanhamento")</f>
        <v>Acompanhamento</v>
      </c>
      <c r="I451" s="17" t="n">
        <v>301.066878980892</v>
      </c>
      <c r="J451" s="11" t="n">
        <f aca="false">D451*I451</f>
        <v>2646532.46815287</v>
      </c>
      <c r="K451" s="7" t="n">
        <f aca="false">Parâmetros!$B$4+Parâmetros!$B$5*F451</f>
        <v>0.0213250538384359</v>
      </c>
      <c r="L451" s="11" t="n">
        <f aca="false">D451*(1+G451)</f>
        <v>9019.24842131486</v>
      </c>
      <c r="M451" s="14" t="n">
        <v>0</v>
      </c>
      <c r="N451" s="4" t="n">
        <v>0.98780487804878</v>
      </c>
      <c r="O451" s="3" t="str">
        <f aca="false">IF(AND(B451=4,M451=1),IF(N451&lt;0.8,"Subgrupo 7 dias; fronteira de cluster","Subgrupo 7 dias"),IF(N451&lt;0.8,"Fronteira de cluster",""))</f>
        <v/>
      </c>
    </row>
    <row r="452" customFormat="false" ht="15" hidden="false" customHeight="false" outlineLevel="0" collapsed="false">
      <c r="A452" s="14" t="n">
        <v>451</v>
      </c>
      <c r="B452" s="14" t="n">
        <v>1</v>
      </c>
      <c r="C452" s="14" t="s">
        <v>30</v>
      </c>
      <c r="D452" s="15" t="n">
        <v>5439.32394366197</v>
      </c>
      <c r="E452" s="16" t="n">
        <f aca="false">INDEX(Parâmetros!$C$33:$C$37,MATCH(B452,Parâmetros!$A$33:$A$37,0))</f>
        <v>6959.92435130262</v>
      </c>
      <c r="F452" s="7" t="n">
        <f aca="false">MAX(0,(E452-D452)/D452)</f>
        <v>0.279556875705572</v>
      </c>
      <c r="G452" s="7" t="n">
        <f aca="false">MIN(K452*Parâmetros!$B$19,Parâmetros!$B$8)</f>
        <v>0.109682078785725</v>
      </c>
      <c r="H452" s="3" t="str">
        <f aca="false">IF(F452&gt;=Parâmetros!$B$6,"Ação","Acompanhamento")</f>
        <v>Ação</v>
      </c>
      <c r="I452" s="17" t="n">
        <v>302.616772823779</v>
      </c>
      <c r="J452" s="11" t="n">
        <f aca="false">D452*I452</f>
        <v>1646030.6581741</v>
      </c>
      <c r="K452" s="7" t="n">
        <f aca="false">Parâmetros!$B$4+Parâmetros!$B$5*F452</f>
        <v>0.0898892189263929</v>
      </c>
      <c r="L452" s="11" t="n">
        <f aca="false">D452*(1+G452)</f>
        <v>6035.92030099178</v>
      </c>
      <c r="M452" s="14" t="n">
        <v>0</v>
      </c>
      <c r="N452" s="4" t="n">
        <v>1</v>
      </c>
      <c r="O452" s="3" t="str">
        <f aca="false">IF(AND(B452=4,M452=1),IF(N452&lt;0.8,"Subgrupo 7 dias; fronteira de cluster","Subgrupo 7 dias"),IF(N452&lt;0.8,"Fronteira de cluster",""))</f>
        <v/>
      </c>
    </row>
    <row r="453" customFormat="false" ht="15" hidden="false" customHeight="false" outlineLevel="0" collapsed="false">
      <c r="A453" s="14" t="n">
        <v>452</v>
      </c>
      <c r="B453" s="14" t="n">
        <v>3</v>
      </c>
      <c r="C453" s="14" t="s">
        <v>32</v>
      </c>
      <c r="D453" s="15" t="n">
        <v>5149.84183673469</v>
      </c>
      <c r="E453" s="16" t="n">
        <f aca="false">INDEX(Parâmetros!$C$33:$C$37,MATCH(B453,Parâmetros!$A$33:$A$37,0))</f>
        <v>5909.24487179487</v>
      </c>
      <c r="F453" s="7" t="n">
        <f aca="false">MAX(0,(E453-D453)/D453)</f>
        <v>0.147461428745875</v>
      </c>
      <c r="G453" s="7" t="n">
        <f aca="false">MIN(K453*Parâmetros!$B$19,Parâmetros!$B$8)</f>
        <v>0.0693866368136092</v>
      </c>
      <c r="H453" s="3" t="str">
        <f aca="false">IF(F453&gt;=Parâmetros!$B$6,"Ação","Acompanhamento")</f>
        <v>Ação</v>
      </c>
      <c r="I453" s="17" t="n">
        <v>303.779193205945</v>
      </c>
      <c r="J453" s="11" t="n">
        <f aca="false">D453*I453</f>
        <v>1564414.79830149</v>
      </c>
      <c r="K453" s="7" t="n">
        <f aca="false">Parâmetros!$B$4+Parâmetros!$B$5*F453</f>
        <v>0.0568653571864687</v>
      </c>
      <c r="L453" s="11" t="n">
        <f aca="false">D453*(1+G453)</f>
        <v>5507.17204190773</v>
      </c>
      <c r="M453" s="14" t="n">
        <v>0</v>
      </c>
      <c r="N453" s="4" t="n">
        <v>0.963414634146341</v>
      </c>
      <c r="O453" s="3" t="str">
        <f aca="false">IF(AND(B453=4,M453=1),IF(N453&lt;0.8,"Subgrupo 7 dias; fronteira de cluster","Subgrupo 7 dias"),IF(N453&lt;0.8,"Fronteira de cluster",""))</f>
        <v/>
      </c>
    </row>
    <row r="454" customFormat="false" ht="15" hidden="false" customHeight="false" outlineLevel="0" collapsed="false">
      <c r="A454" s="14" t="n">
        <v>453</v>
      </c>
      <c r="B454" s="14" t="n">
        <v>2</v>
      </c>
      <c r="C454" s="14" t="s">
        <v>31</v>
      </c>
      <c r="D454" s="15" t="n">
        <v>7775.4464487035</v>
      </c>
      <c r="E454" s="16" t="n">
        <f aca="false">INDEX(Parâmetros!$C$33:$C$37,MATCH(B454,Parâmetros!$A$33:$A$37,0))</f>
        <v>6324.80102695764</v>
      </c>
      <c r="F454" s="7" t="n">
        <f aca="false">MAX(0,(E454-D454)/D454)</f>
        <v>0</v>
      </c>
      <c r="G454" s="7" t="n">
        <f aca="false">MIN(K454*Parâmetros!$B$19,Parâmetros!$B$8)</f>
        <v>0.0244038339849275</v>
      </c>
      <c r="H454" s="3" t="str">
        <f aca="false">IF(F454&gt;=Parâmetros!$B$6,"Ação","Acompanhamento")</f>
        <v>Acompanhamento</v>
      </c>
      <c r="I454" s="17" t="n">
        <v>343.688959660297</v>
      </c>
      <c r="J454" s="11" t="n">
        <f aca="false">D454*I454</f>
        <v>2672335.10084926</v>
      </c>
      <c r="K454" s="7" t="n">
        <f aca="false">Parâmetros!$B$4+Parâmetros!$B$5*F454</f>
        <v>0.02</v>
      </c>
      <c r="L454" s="11" t="n">
        <f aca="false">D454*(1+G454)</f>
        <v>7965.19715299635</v>
      </c>
      <c r="M454" s="14" t="n">
        <v>1</v>
      </c>
      <c r="N454" s="4" t="n">
        <v>0.973684210526316</v>
      </c>
      <c r="O454" s="3" t="str">
        <f aca="false">IF(AND(B454=4,M454=1),IF(N454&lt;0.8,"Subgrupo 7 dias; fronteira de cluster","Subgrupo 7 dias"),IF(N454&lt;0.8,"Fronteira de cluster",""))</f>
        <v/>
      </c>
    </row>
    <row r="455" customFormat="false" ht="15" hidden="false" customHeight="false" outlineLevel="0" collapsed="false">
      <c r="A455" s="14" t="n">
        <v>454</v>
      </c>
      <c r="B455" s="14" t="n">
        <v>3</v>
      </c>
      <c r="C455" s="14" t="s">
        <v>32</v>
      </c>
      <c r="D455" s="15" t="n">
        <v>5794.12307692308</v>
      </c>
      <c r="E455" s="16" t="n">
        <f aca="false">INDEX(Parâmetros!$C$33:$C$37,MATCH(B455,Parâmetros!$A$33:$A$37,0))</f>
        <v>5909.24487179487</v>
      </c>
      <c r="F455" s="7" t="n">
        <f aca="false">MAX(0,(E455-D455)/D455)</f>
        <v>0.0198687175511172</v>
      </c>
      <c r="G455" s="7" t="n">
        <f aca="false">MIN(K455*Parâmetros!$B$19,Parâmetros!$B$8)</f>
        <v>0.0304647450425634</v>
      </c>
      <c r="H455" s="3" t="str">
        <f aca="false">IF(F455&gt;=Parâmetros!$B$6,"Ação","Acompanhamento")</f>
        <v>Acompanhamento</v>
      </c>
      <c r="I455" s="17" t="n">
        <v>302.229299363057</v>
      </c>
      <c r="J455" s="11" t="n">
        <f aca="false">D455*I455</f>
        <v>1751153.75796178</v>
      </c>
      <c r="K455" s="7" t="n">
        <f aca="false">Parâmetros!$B$4+Parâmetros!$B$5*F455</f>
        <v>0.0249671793877793</v>
      </c>
      <c r="L455" s="11" t="n">
        <f aca="false">D455*(1+G455)</f>
        <v>5970.63955920677</v>
      </c>
      <c r="M455" s="14" t="n">
        <v>0</v>
      </c>
      <c r="N455" s="4" t="n">
        <v>1</v>
      </c>
      <c r="O455" s="3" t="str">
        <f aca="false">IF(AND(B455=4,M455=1),IF(N455&lt;0.8,"Subgrupo 7 dias; fronteira de cluster","Subgrupo 7 dias"),IF(N455&lt;0.8,"Fronteira de cluster",""))</f>
        <v/>
      </c>
    </row>
    <row r="456" customFormat="false" ht="15" hidden="false" customHeight="false" outlineLevel="0" collapsed="false">
      <c r="A456" s="14" t="n">
        <v>455</v>
      </c>
      <c r="B456" s="14" t="n">
        <v>1</v>
      </c>
      <c r="C456" s="14" t="s">
        <v>30</v>
      </c>
      <c r="D456" s="15" t="n">
        <v>7371.39124839125</v>
      </c>
      <c r="E456" s="16" t="n">
        <f aca="false">INDEX(Parâmetros!$C$33:$C$37,MATCH(B456,Parâmetros!$A$33:$A$37,0))</f>
        <v>6959.92435130262</v>
      </c>
      <c r="F456" s="7" t="n">
        <f aca="false">MAX(0,(E456-D456)/D456)</f>
        <v>0</v>
      </c>
      <c r="G456" s="7" t="n">
        <f aca="false">MIN(K456*Parâmetros!$B$19,Parâmetros!$B$8)</f>
        <v>0.0244038339849275</v>
      </c>
      <c r="H456" s="3" t="str">
        <f aca="false">IF(F456&gt;=Parâmetros!$B$6,"Ação","Acompanhamento")</f>
        <v>Acompanhamento</v>
      </c>
      <c r="I456" s="17" t="n">
        <v>301.066878980892</v>
      </c>
      <c r="J456" s="11" t="n">
        <f aca="false">D456*I456</f>
        <v>2219281.75690021</v>
      </c>
      <c r="K456" s="7" t="n">
        <f aca="false">Parâmetros!$B$4+Parâmetros!$B$5*F456</f>
        <v>0.02</v>
      </c>
      <c r="L456" s="11" t="n">
        <f aca="false">D456*(1+G456)</f>
        <v>7551.28145665494</v>
      </c>
      <c r="M456" s="14" t="n">
        <v>0</v>
      </c>
      <c r="N456" s="4" t="n">
        <v>1</v>
      </c>
      <c r="O456" s="3" t="str">
        <f aca="false">IF(AND(B456=4,M456=1),IF(N456&lt;0.8,"Subgrupo 7 dias; fronteira de cluster","Subgrupo 7 dias"),IF(N456&lt;0.8,"Fronteira de cluster",""))</f>
        <v/>
      </c>
    </row>
    <row r="457" customFormat="false" ht="15" hidden="false" customHeight="false" outlineLevel="0" collapsed="false">
      <c r="A457" s="14" t="n">
        <v>456</v>
      </c>
      <c r="B457" s="14" t="n">
        <v>0</v>
      </c>
      <c r="C457" s="14" t="s">
        <v>29</v>
      </c>
      <c r="D457" s="15" t="n">
        <v>6190.56097560976</v>
      </c>
      <c r="E457" s="16" t="n">
        <f aca="false">INDEX(Parâmetros!$C$33:$C$37,MATCH(B457,Parâmetros!$A$33:$A$37,0))</f>
        <v>5476.37033462034</v>
      </c>
      <c r="F457" s="7" t="n">
        <f aca="false">MAX(0,(E457-D457)/D457)</f>
        <v>0</v>
      </c>
      <c r="G457" s="7" t="n">
        <f aca="false">MIN(K457*Parâmetros!$B$19,Parâmetros!$B$8)</f>
        <v>0.0244038339849275</v>
      </c>
      <c r="H457" s="3" t="str">
        <f aca="false">IF(F457&gt;=Parâmetros!$B$6,"Ação","Acompanhamento")</f>
        <v>Acompanhamento</v>
      </c>
      <c r="I457" s="17" t="n">
        <v>301.841825902336</v>
      </c>
      <c r="J457" s="11" t="n">
        <f aca="false">D457*I457</f>
        <v>1868570.22823779</v>
      </c>
      <c r="K457" s="7" t="n">
        <f aca="false">Parâmetros!$B$4+Parâmetros!$B$5*F457</f>
        <v>0.02</v>
      </c>
      <c r="L457" s="11" t="n">
        <f aca="false">D457*(1+G457)</f>
        <v>6341.63439793211</v>
      </c>
      <c r="M457" s="14" t="n">
        <v>0</v>
      </c>
      <c r="N457" s="4" t="n">
        <v>0.952380952380952</v>
      </c>
      <c r="O457" s="3" t="str">
        <f aca="false">IF(AND(B457=4,M457=1),IF(N457&lt;0.8,"Subgrupo 7 dias; fronteira de cluster","Subgrupo 7 dias"),IF(N457&lt;0.8,"Fronteira de cluster",""))</f>
        <v/>
      </c>
    </row>
    <row r="458" customFormat="false" ht="15" hidden="false" customHeight="false" outlineLevel="0" collapsed="false">
      <c r="A458" s="14" t="n">
        <v>457</v>
      </c>
      <c r="B458" s="14" t="n">
        <v>1</v>
      </c>
      <c r="C458" s="14" t="s">
        <v>30</v>
      </c>
      <c r="D458" s="15" t="n">
        <v>4840.55305466238</v>
      </c>
      <c r="E458" s="16" t="n">
        <f aca="false">INDEX(Parâmetros!$C$33:$C$37,MATCH(B458,Parâmetros!$A$33:$A$37,0))</f>
        <v>6959.92435130262</v>
      </c>
      <c r="F458" s="7" t="n">
        <f aca="false">MAX(0,(E458-D458)/D458)</f>
        <v>0.437836601046833</v>
      </c>
      <c r="G458" s="7" t="n">
        <f aca="false">MIN(K458*Parâmetros!$B$19,Parâmetros!$B$8)</f>
        <v>0.157964980540825</v>
      </c>
      <c r="H458" s="3" t="str">
        <f aca="false">IF(F458&gt;=Parâmetros!$B$6,"Ação","Acompanhamento")</f>
        <v>Ação</v>
      </c>
      <c r="I458" s="17" t="n">
        <v>299.511873350924</v>
      </c>
      <c r="J458" s="11" t="n">
        <f aca="false">D458*I458</f>
        <v>1449803.11345646</v>
      </c>
      <c r="K458" s="7" t="n">
        <f aca="false">Parâmetros!$B$4+Parâmetros!$B$5*F458</f>
        <v>0.129459150261708</v>
      </c>
      <c r="L458" s="11" t="n">
        <f aca="false">D458*(1+G458)</f>
        <v>5605.19092374896</v>
      </c>
      <c r="M458" s="14" t="n">
        <v>0</v>
      </c>
      <c r="N458" s="4" t="n">
        <v>0.987179487179487</v>
      </c>
      <c r="O458" s="3" t="str">
        <f aca="false">IF(AND(B458=4,M458=1),IF(N458&lt;0.8,"Subgrupo 7 dias; fronteira de cluster","Subgrupo 7 dias"),IF(N458&lt;0.8,"Fronteira de cluster",""))</f>
        <v/>
      </c>
    </row>
    <row r="459" customFormat="false" ht="15" hidden="false" customHeight="false" outlineLevel="0" collapsed="false">
      <c r="A459" s="14" t="n">
        <v>458</v>
      </c>
      <c r="B459" s="14" t="n">
        <v>1</v>
      </c>
      <c r="C459" s="14" t="s">
        <v>30</v>
      </c>
      <c r="D459" s="15" t="n">
        <v>7582.11779769526</v>
      </c>
      <c r="E459" s="16" t="n">
        <f aca="false">INDEX(Parâmetros!$C$33:$C$37,MATCH(B459,Parâmetros!$A$33:$A$37,0))</f>
        <v>6959.92435130262</v>
      </c>
      <c r="F459" s="7" t="n">
        <f aca="false">MAX(0,(E459-D459)/D459)</f>
        <v>0</v>
      </c>
      <c r="G459" s="7" t="n">
        <f aca="false">MIN(K459*Parâmetros!$B$19,Parâmetros!$B$8)</f>
        <v>0.0244038339849275</v>
      </c>
      <c r="H459" s="3" t="str">
        <f aca="false">IF(F459&gt;=Parâmetros!$B$6,"Ação","Acompanhamento")</f>
        <v>Acompanhamento</v>
      </c>
      <c r="I459" s="17" t="n">
        <v>302.616772823779</v>
      </c>
      <c r="J459" s="11" t="n">
        <f aca="false">D459*I459</f>
        <v>2294476.01910828</v>
      </c>
      <c r="K459" s="7" t="n">
        <f aca="false">Parâmetros!$B$4+Parâmetros!$B$5*F459</f>
        <v>0.02</v>
      </c>
      <c r="L459" s="11" t="n">
        <f aca="false">D459*(1+G459)</f>
        <v>7767.15054168438</v>
      </c>
      <c r="M459" s="14" t="n">
        <v>0</v>
      </c>
      <c r="N459" s="4" t="n">
        <v>1</v>
      </c>
      <c r="O459" s="3" t="str">
        <f aca="false">IF(AND(B459=4,M459=1),IF(N459&lt;0.8,"Subgrupo 7 dias; fronteira de cluster","Subgrupo 7 dias"),IF(N459&lt;0.8,"Fronteira de cluster",""))</f>
        <v/>
      </c>
    </row>
    <row r="460" customFormat="false" ht="15" hidden="false" customHeight="false" outlineLevel="0" collapsed="false">
      <c r="A460" s="14" t="n">
        <v>459</v>
      </c>
      <c r="B460" s="14" t="n">
        <v>0</v>
      </c>
      <c r="C460" s="14" t="s">
        <v>29</v>
      </c>
      <c r="D460" s="15" t="n">
        <v>9176.75</v>
      </c>
      <c r="E460" s="16" t="n">
        <f aca="false">INDEX(Parâmetros!$C$33:$C$37,MATCH(B460,Parâmetros!$A$33:$A$37,0))</f>
        <v>5476.37033462034</v>
      </c>
      <c r="F460" s="7" t="n">
        <f aca="false">MAX(0,(E460-D460)/D460)</f>
        <v>0</v>
      </c>
      <c r="G460" s="7" t="n">
        <f aca="false">MIN(K460*Parâmetros!$B$19,Parâmetros!$B$8)</f>
        <v>0.0244038339849275</v>
      </c>
      <c r="H460" s="3" t="str">
        <f aca="false">IF(F460&gt;=Parâmetros!$B$6,"Ação","Acompanhamento")</f>
        <v>Acompanhamento</v>
      </c>
      <c r="I460" s="17" t="n">
        <v>303.779193205945</v>
      </c>
      <c r="J460" s="11" t="n">
        <f aca="false">D460*I460</f>
        <v>2787705.71125265</v>
      </c>
      <c r="K460" s="7" t="n">
        <f aca="false">Parâmetros!$B$4+Parâmetros!$B$5*F460</f>
        <v>0.02</v>
      </c>
      <c r="L460" s="11" t="n">
        <f aca="false">D460*(1+G460)</f>
        <v>9400.69788352118</v>
      </c>
      <c r="M460" s="14" t="n">
        <v>0</v>
      </c>
      <c r="N460" s="4" t="n">
        <v>0.948717948717949</v>
      </c>
      <c r="O460" s="3" t="str">
        <f aca="false">IF(AND(B460=4,M460=1),IF(N460&lt;0.8,"Subgrupo 7 dias; fronteira de cluster","Subgrupo 7 dias"),IF(N460&lt;0.8,"Fronteira de cluster",""))</f>
        <v/>
      </c>
    </row>
    <row r="461" customFormat="false" ht="15" hidden="false" customHeight="false" outlineLevel="0" collapsed="false">
      <c r="A461" s="14" t="n">
        <v>460</v>
      </c>
      <c r="B461" s="14" t="n">
        <v>3</v>
      </c>
      <c r="C461" s="14" t="s">
        <v>32</v>
      </c>
      <c r="D461" s="15" t="n">
        <v>3736.00897435897</v>
      </c>
      <c r="E461" s="16" t="n">
        <f aca="false">INDEX(Parâmetros!$C$33:$C$37,MATCH(B461,Parâmetros!$A$33:$A$37,0))</f>
        <v>5909.24487179487</v>
      </c>
      <c r="F461" s="7" t="n">
        <f aca="false">MAX(0,(E461-D461)/D461)</f>
        <v>0.58169986002477</v>
      </c>
      <c r="G461" s="7" t="n">
        <f aca="false">MIN(K461*Parâmetros!$B$19,Parâmetros!$B$8)</f>
        <v>0.2</v>
      </c>
      <c r="H461" s="3" t="str">
        <f aca="false">IF(F461&gt;=Parâmetros!$B$6,"Ação","Acompanhamento")</f>
        <v>Ação</v>
      </c>
      <c r="I461" s="17" t="n">
        <v>302.229299363057</v>
      </c>
      <c r="J461" s="11" t="n">
        <f aca="false">D461*I461</f>
        <v>1129131.37473461</v>
      </c>
      <c r="K461" s="7" t="n">
        <f aca="false">Parâmetros!$B$4+Parâmetros!$B$5*F461</f>
        <v>0.165424965006192</v>
      </c>
      <c r="L461" s="11" t="n">
        <f aca="false">D461*(1+G461)</f>
        <v>4483.21076923077</v>
      </c>
      <c r="M461" s="14" t="n">
        <v>0</v>
      </c>
      <c r="N461" s="4" t="n">
        <v>1</v>
      </c>
      <c r="O461" s="3" t="str">
        <f aca="false">IF(AND(B461=4,M461=1),IF(N461&lt;0.8,"Subgrupo 7 dias; fronteira de cluster","Subgrupo 7 dias"),IF(N461&lt;0.8,"Fronteira de cluster",""))</f>
        <v/>
      </c>
    </row>
    <row r="462" customFormat="false" ht="15" hidden="false" customHeight="false" outlineLevel="0" collapsed="false">
      <c r="A462" s="14" t="n">
        <v>461</v>
      </c>
      <c r="B462" s="14" t="n">
        <v>1</v>
      </c>
      <c r="C462" s="14" t="s">
        <v>30</v>
      </c>
      <c r="D462" s="15" t="n">
        <v>4838.66537966538</v>
      </c>
      <c r="E462" s="16" t="n">
        <f aca="false">INDEX(Parâmetros!$C$33:$C$37,MATCH(B462,Parâmetros!$A$33:$A$37,0))</f>
        <v>6959.92435130262</v>
      </c>
      <c r="F462" s="7" t="n">
        <f aca="false">MAX(0,(E462-D462)/D462)</f>
        <v>0.438397534277094</v>
      </c>
      <c r="G462" s="7" t="n">
        <f aca="false">MIN(K462*Parâmetros!$B$19,Parâmetros!$B$8)</f>
        <v>0.158136092058674</v>
      </c>
      <c r="H462" s="3" t="str">
        <f aca="false">IF(F462&gt;=Parâmetros!$B$6,"Ação","Acompanhamento")</f>
        <v>Ação</v>
      </c>
      <c r="I462" s="17" t="n">
        <v>301.066878980892</v>
      </c>
      <c r="J462" s="11" t="n">
        <f aca="false">D462*I462</f>
        <v>1456761.88428875</v>
      </c>
      <c r="K462" s="7" t="n">
        <f aca="false">Parâmetros!$B$4+Parâmetros!$B$5*F462</f>
        <v>0.129599383569273</v>
      </c>
      <c r="L462" s="11" t="n">
        <f aca="false">D462*(1+G462)</f>
        <v>5603.83301358527</v>
      </c>
      <c r="M462" s="14" t="n">
        <v>0</v>
      </c>
      <c r="N462" s="4" t="n">
        <v>0.962025316455696</v>
      </c>
      <c r="O462" s="3" t="str">
        <f aca="false">IF(AND(B462=4,M462=1),IF(N462&lt;0.8,"Subgrupo 7 dias; fronteira de cluster","Subgrupo 7 dias"),IF(N462&lt;0.8,"Fronteira de cluster",""))</f>
        <v/>
      </c>
    </row>
    <row r="463" customFormat="false" ht="15" hidden="false" customHeight="false" outlineLevel="0" collapsed="false">
      <c r="A463" s="14" t="n">
        <v>462</v>
      </c>
      <c r="B463" s="14" t="n">
        <v>3</v>
      </c>
      <c r="C463" s="14" t="s">
        <v>32</v>
      </c>
      <c r="D463" s="15" t="n">
        <v>4832.58846153846</v>
      </c>
      <c r="E463" s="16" t="n">
        <f aca="false">INDEX(Parâmetros!$C$33:$C$37,MATCH(B463,Parâmetros!$A$33:$A$37,0))</f>
        <v>5909.24487179487</v>
      </c>
      <c r="F463" s="7" t="n">
        <f aca="false">MAX(0,(E463-D463)/D463)</f>
        <v>0.222790833282265</v>
      </c>
      <c r="G463" s="7" t="n">
        <f aca="false">MIN(K463*Parâmetros!$B$19,Parâmetros!$B$8)</f>
        <v>0.0923657153447279</v>
      </c>
      <c r="H463" s="3" t="str">
        <f aca="false">IF(F463&gt;=Parâmetros!$B$6,"Ação","Acompanhamento")</f>
        <v>Ação</v>
      </c>
      <c r="I463" s="17" t="n">
        <v>302.229299363057</v>
      </c>
      <c r="J463" s="11" t="n">
        <f aca="false">D463*I463</f>
        <v>1460549.82484076</v>
      </c>
      <c r="K463" s="7" t="n">
        <f aca="false">Parâmetros!$B$4+Parâmetros!$B$5*F463</f>
        <v>0.0756977083205662</v>
      </c>
      <c r="L463" s="11" t="n">
        <f aca="false">D463*(1+G463)</f>
        <v>5278.95395175514</v>
      </c>
      <c r="M463" s="14" t="n">
        <v>0</v>
      </c>
      <c r="N463" s="4" t="n">
        <v>1</v>
      </c>
      <c r="O463" s="3" t="str">
        <f aca="false">IF(AND(B463=4,M463=1),IF(N463&lt;0.8,"Subgrupo 7 dias; fronteira de cluster","Subgrupo 7 dias"),IF(N463&lt;0.8,"Fronteira de cluster",""))</f>
        <v/>
      </c>
    </row>
    <row r="464" customFormat="false" ht="15" hidden="false" customHeight="false" outlineLevel="0" collapsed="false">
      <c r="A464" s="14" t="n">
        <v>463</v>
      </c>
      <c r="B464" s="14" t="n">
        <v>0</v>
      </c>
      <c r="C464" s="14" t="s">
        <v>29</v>
      </c>
      <c r="D464" s="15" t="n">
        <v>6094.67137355584</v>
      </c>
      <c r="E464" s="16" t="n">
        <f aca="false">INDEX(Parâmetros!$C$33:$C$37,MATCH(B464,Parâmetros!$A$33:$A$37,0))</f>
        <v>5476.37033462034</v>
      </c>
      <c r="F464" s="7" t="n">
        <f aca="false">MAX(0,(E464-D464)/D464)</f>
        <v>0</v>
      </c>
      <c r="G464" s="7" t="n">
        <f aca="false">MIN(K464*Parâmetros!$B$19,Parâmetros!$B$8)</f>
        <v>0.0244038339849275</v>
      </c>
      <c r="H464" s="3" t="str">
        <f aca="false">IF(F464&gt;=Parâmetros!$B$6,"Ação","Acompanhamento")</f>
        <v>Acompanhamento</v>
      </c>
      <c r="I464" s="17" t="n">
        <v>301.841825902336</v>
      </c>
      <c r="J464" s="11" t="n">
        <f aca="false">D464*I464</f>
        <v>1839626.73566879</v>
      </c>
      <c r="K464" s="7" t="n">
        <f aca="false">Parâmetros!$B$4+Parâmetros!$B$5*F464</f>
        <v>0.02</v>
      </c>
      <c r="L464" s="11" t="n">
        <f aca="false">D464*(1+G464)</f>
        <v>6243.40472194879</v>
      </c>
      <c r="M464" s="14" t="n">
        <v>0</v>
      </c>
      <c r="N464" s="4" t="n">
        <v>1</v>
      </c>
      <c r="O464" s="3" t="str">
        <f aca="false">IF(AND(B464=4,M464=1),IF(N464&lt;0.8,"Subgrupo 7 dias; fronteira de cluster","Subgrupo 7 dias"),IF(N464&lt;0.8,"Fronteira de cluster",""))</f>
        <v/>
      </c>
    </row>
    <row r="465" customFormat="false" ht="15" hidden="false" customHeight="false" outlineLevel="0" collapsed="false">
      <c r="A465" s="14" t="n">
        <v>464</v>
      </c>
      <c r="B465" s="14" t="n">
        <v>4</v>
      </c>
      <c r="C465" s="14" t="s">
        <v>33</v>
      </c>
      <c r="D465" s="15" t="n">
        <v>10642.6836734694</v>
      </c>
      <c r="E465" s="16" t="n">
        <f aca="false">INDEX(Parâmetros!$C$33:$C$37,MATCH(B465,Parâmetros!$A$33:$A$37,0))</f>
        <v>8837.10512820513</v>
      </c>
      <c r="F465" s="7" t="n">
        <f aca="false">MAX(0,(E465-D465)/D465)</f>
        <v>0</v>
      </c>
      <c r="G465" s="7" t="n">
        <f aca="false">MIN(K465*Parâmetros!$B$19,Parâmetros!$B$8)</f>
        <v>0.0244038339849275</v>
      </c>
      <c r="H465" s="3" t="str">
        <f aca="false">IF(F465&gt;=Parâmetros!$B$6,"Ação","Acompanhamento")</f>
        <v>Acompanhamento</v>
      </c>
      <c r="I465" s="17" t="n">
        <v>303.779193205945</v>
      </c>
      <c r="J465" s="11" t="n">
        <f aca="false">D465*I465</f>
        <v>3233025.85987261</v>
      </c>
      <c r="K465" s="7" t="n">
        <f aca="false">Parâmetros!$B$4+Parâmetros!$B$5*F465</f>
        <v>0.02</v>
      </c>
      <c r="L465" s="11" t="n">
        <f aca="false">D465*(1+G465)</f>
        <v>10902.4059589908</v>
      </c>
      <c r="M465" s="14" t="n">
        <v>0</v>
      </c>
      <c r="N465" s="4" t="n">
        <v>0.987951807228916</v>
      </c>
      <c r="O465" s="3" t="str">
        <f aca="false">IF(AND(B465=4,M465=1),IF(N465&lt;0.8,"Subgrupo 7 dias; fronteira de cluster","Subgrupo 7 dias"),IF(N465&lt;0.8,"Fronteira de cluster",""))</f>
        <v/>
      </c>
    </row>
    <row r="466" customFormat="false" ht="15" hidden="false" customHeight="false" outlineLevel="0" collapsed="false">
      <c r="A466" s="14" t="n">
        <v>465</v>
      </c>
      <c r="B466" s="14" t="n">
        <v>1</v>
      </c>
      <c r="C466" s="14" t="s">
        <v>30</v>
      </c>
      <c r="D466" s="15" t="n">
        <v>7762.8066581306</v>
      </c>
      <c r="E466" s="16" t="n">
        <f aca="false">INDEX(Parâmetros!$C$33:$C$37,MATCH(B466,Parâmetros!$A$33:$A$37,0))</f>
        <v>6959.92435130262</v>
      </c>
      <c r="F466" s="7" t="n">
        <f aca="false">MAX(0,(E466-D466)/D466)</f>
        <v>0</v>
      </c>
      <c r="G466" s="7" t="n">
        <f aca="false">MIN(K466*Parâmetros!$B$19,Parâmetros!$B$8)</f>
        <v>0.0244038339849275</v>
      </c>
      <c r="H466" s="3" t="str">
        <f aca="false">IF(F466&gt;=Parâmetros!$B$6,"Ação","Acompanhamento")</f>
        <v>Acompanhamento</v>
      </c>
      <c r="I466" s="17" t="n">
        <v>302.616772823779</v>
      </c>
      <c r="J466" s="11" t="n">
        <f aca="false">D466*I466</f>
        <v>2349155.49893843</v>
      </c>
      <c r="K466" s="7" t="n">
        <f aca="false">Parâmetros!$B$4+Parâmetros!$B$5*F466</f>
        <v>0.02</v>
      </c>
      <c r="L466" s="11" t="n">
        <f aca="false">D466*(1+G466)</f>
        <v>7952.24890307271</v>
      </c>
      <c r="M466" s="14" t="n">
        <v>0</v>
      </c>
      <c r="N466" s="4" t="n">
        <v>1</v>
      </c>
      <c r="O466" s="3" t="str">
        <f aca="false">IF(AND(B466=4,M466=1),IF(N466&lt;0.8,"Subgrupo 7 dias; fronteira de cluster","Subgrupo 7 dias"),IF(N466&lt;0.8,"Fronteira de cluster",""))</f>
        <v/>
      </c>
    </row>
    <row r="467" customFormat="false" ht="15" hidden="false" customHeight="false" outlineLevel="0" collapsed="false">
      <c r="A467" s="14" t="n">
        <v>466</v>
      </c>
      <c r="B467" s="14" t="n">
        <v>3</v>
      </c>
      <c r="C467" s="14" t="s">
        <v>32</v>
      </c>
      <c r="D467" s="15" t="n">
        <v>7712.36585365854</v>
      </c>
      <c r="E467" s="16" t="n">
        <f aca="false">INDEX(Parâmetros!$C$33:$C$37,MATCH(B467,Parâmetros!$A$33:$A$37,0))</f>
        <v>5909.24487179487</v>
      </c>
      <c r="F467" s="7" t="n">
        <f aca="false">MAX(0,(E467-D467)/D467)</f>
        <v>0</v>
      </c>
      <c r="G467" s="7" t="n">
        <f aca="false">MIN(K467*Parâmetros!$B$19,Parâmetros!$B$8)</f>
        <v>0.0244038339849275</v>
      </c>
      <c r="H467" s="3" t="str">
        <f aca="false">IF(F467&gt;=Parâmetros!$B$6,"Ação","Acompanhamento")</f>
        <v>Acompanhamento</v>
      </c>
      <c r="I467" s="17" t="n">
        <v>301.841825902336</v>
      </c>
      <c r="J467" s="11" t="n">
        <f aca="false">D467*I467</f>
        <v>2327914.59129512</v>
      </c>
      <c r="K467" s="7" t="n">
        <f aca="false">Parâmetros!$B$4+Parâmetros!$B$5*F467</f>
        <v>0.02</v>
      </c>
      <c r="L467" s="11" t="n">
        <f aca="false">D467*(1+G467)</f>
        <v>7900.57714958224</v>
      </c>
      <c r="M467" s="14" t="n">
        <v>0</v>
      </c>
      <c r="N467" s="4" t="n">
        <v>0.974683544303797</v>
      </c>
      <c r="O467" s="3" t="str">
        <f aca="false">IF(AND(B467=4,M467=1),IF(N467&lt;0.8,"Subgrupo 7 dias; fronteira de cluster","Subgrupo 7 dias"),IF(N467&lt;0.8,"Fronteira de cluster",""))</f>
        <v/>
      </c>
    </row>
    <row r="468" customFormat="false" ht="15" hidden="false" customHeight="false" outlineLevel="0" collapsed="false">
      <c r="A468" s="14" t="n">
        <v>467</v>
      </c>
      <c r="B468" s="14" t="n">
        <v>4</v>
      </c>
      <c r="C468" s="14" t="s">
        <v>33</v>
      </c>
      <c r="D468" s="15" t="n">
        <v>13480.1476251605</v>
      </c>
      <c r="E468" s="16" t="n">
        <f aca="false">INDEX(Parâmetros!$C$33:$C$37,MATCH(B468,Parâmetros!$A$33:$A$37,0))</f>
        <v>8837.10512820513</v>
      </c>
      <c r="F468" s="7" t="n">
        <f aca="false">MAX(0,(E468-D468)/D468)</f>
        <v>0</v>
      </c>
      <c r="G468" s="7" t="n">
        <f aca="false">MIN(K468*Parâmetros!$B$19,Parâmetros!$B$8)</f>
        <v>0.0244038339849275</v>
      </c>
      <c r="H468" s="3" t="str">
        <f aca="false">IF(F468&gt;=Parâmetros!$B$6,"Ação","Acompanhamento")</f>
        <v>Acompanhamento</v>
      </c>
      <c r="I468" s="17" t="n">
        <v>301.841825902336</v>
      </c>
      <c r="J468" s="11" t="n">
        <f aca="false">D468*I468</f>
        <v>4068872.37261146</v>
      </c>
      <c r="K468" s="7" t="n">
        <f aca="false">Parâmetros!$B$4+Parâmetros!$B$5*F468</f>
        <v>0.02</v>
      </c>
      <c r="L468" s="11" t="n">
        <f aca="false">D468*(1+G468)</f>
        <v>13809.1149098972</v>
      </c>
      <c r="M468" s="14" t="n">
        <v>0</v>
      </c>
      <c r="N468" s="4" t="n">
        <v>0.973684210526316</v>
      </c>
      <c r="O468" s="3" t="str">
        <f aca="false">IF(AND(B468=4,M468=1),IF(N468&lt;0.8,"Subgrupo 7 dias; fronteira de cluster","Subgrupo 7 dias"),IF(N468&lt;0.8,"Fronteira de cluster",""))</f>
        <v/>
      </c>
    </row>
    <row r="469" customFormat="false" ht="15" hidden="false" customHeight="false" outlineLevel="0" collapsed="false">
      <c r="A469" s="14" t="n">
        <v>468</v>
      </c>
      <c r="B469" s="14" t="n">
        <v>2</v>
      </c>
      <c r="C469" s="14" t="s">
        <v>31</v>
      </c>
      <c r="D469" s="15" t="n">
        <v>6669.66071428572</v>
      </c>
      <c r="E469" s="16" t="n">
        <f aca="false">INDEX(Parâmetros!$C$33:$C$37,MATCH(B469,Parâmetros!$A$33:$A$37,0))</f>
        <v>6324.80102695764</v>
      </c>
      <c r="F469" s="7" t="n">
        <f aca="false">MAX(0,(E469-D469)/D469)</f>
        <v>0</v>
      </c>
      <c r="G469" s="7" t="n">
        <f aca="false">MIN(K469*Parâmetros!$B$19,Parâmetros!$B$8)</f>
        <v>0.0244038339849275</v>
      </c>
      <c r="H469" s="3" t="str">
        <f aca="false">IF(F469&gt;=Parâmetros!$B$6,"Ação","Acompanhamento")</f>
        <v>Acompanhamento</v>
      </c>
      <c r="I469" s="17" t="n">
        <v>303.779193205945</v>
      </c>
      <c r="J469" s="11" t="n">
        <f aca="false">D469*I469</f>
        <v>2026104.1507431</v>
      </c>
      <c r="K469" s="7" t="n">
        <f aca="false">Parâmetros!$B$4+Parâmetros!$B$5*F469</f>
        <v>0.02</v>
      </c>
      <c r="L469" s="11" t="n">
        <f aca="false">D469*(1+G469)</f>
        <v>6832.42600709294</v>
      </c>
      <c r="M469" s="14" t="n">
        <v>0</v>
      </c>
      <c r="N469" s="4" t="n">
        <v>0.987179487179487</v>
      </c>
      <c r="O469" s="3" t="str">
        <f aca="false">IF(AND(B469=4,M469=1),IF(N469&lt;0.8,"Subgrupo 7 dias; fronteira de cluster","Subgrupo 7 dias"),IF(N469&lt;0.8,"Fronteira de cluster",""))</f>
        <v/>
      </c>
    </row>
    <row r="470" customFormat="false" ht="15" hidden="false" customHeight="false" outlineLevel="0" collapsed="false">
      <c r="A470" s="14" t="n">
        <v>469</v>
      </c>
      <c r="B470" s="14" t="n">
        <v>4</v>
      </c>
      <c r="C470" s="14" t="s">
        <v>33</v>
      </c>
      <c r="D470" s="15" t="n">
        <v>11901.4566326531</v>
      </c>
      <c r="E470" s="16" t="n">
        <f aca="false">INDEX(Parâmetros!$C$33:$C$37,MATCH(B470,Parâmetros!$A$33:$A$37,0))</f>
        <v>8837.10512820513</v>
      </c>
      <c r="F470" s="7" t="n">
        <f aca="false">MAX(0,(E470-D470)/D470)</f>
        <v>0</v>
      </c>
      <c r="G470" s="7" t="n">
        <f aca="false">MIN(K470*Parâmetros!$B$19,Parâmetros!$B$8)</f>
        <v>0.0244038339849275</v>
      </c>
      <c r="H470" s="3" t="str">
        <f aca="false">IF(F470&gt;=Parâmetros!$B$6,"Ação","Acompanhamento")</f>
        <v>Acompanhamento</v>
      </c>
      <c r="I470" s="17" t="n">
        <v>303.779193205945</v>
      </c>
      <c r="J470" s="11" t="n">
        <f aca="false">D470*I470</f>
        <v>3615414.89384289</v>
      </c>
      <c r="K470" s="7" t="n">
        <f aca="false">Parâmetros!$B$4+Parâmetros!$B$5*F470</f>
        <v>0.02</v>
      </c>
      <c r="L470" s="11" t="n">
        <f aca="false">D470*(1+G470)</f>
        <v>12191.8978044951</v>
      </c>
      <c r="M470" s="14" t="n">
        <v>0</v>
      </c>
      <c r="N470" s="4" t="n">
        <v>0.975</v>
      </c>
      <c r="O470" s="3" t="str">
        <f aca="false">IF(AND(B470=4,M470=1),IF(N470&lt;0.8,"Subgrupo 7 dias; fronteira de cluster","Subgrupo 7 dias"),IF(N470&lt;0.8,"Fronteira de cluster",""))</f>
        <v/>
      </c>
    </row>
    <row r="471" customFormat="false" ht="15" hidden="false" customHeight="false" outlineLevel="0" collapsed="false">
      <c r="A471" s="14" t="n">
        <v>470</v>
      </c>
      <c r="B471" s="14" t="n">
        <v>4</v>
      </c>
      <c r="C471" s="14" t="s">
        <v>33</v>
      </c>
      <c r="D471" s="15" t="n">
        <v>13111.7422680412</v>
      </c>
      <c r="E471" s="16" t="n">
        <f aca="false">INDEX(Parâmetros!$C$33:$C$37,MATCH(B471,Parâmetros!$A$33:$A$37,0))</f>
        <v>8837.10512820513</v>
      </c>
      <c r="F471" s="7" t="n">
        <f aca="false">MAX(0,(E471-D471)/D471)</f>
        <v>0</v>
      </c>
      <c r="G471" s="7" t="n">
        <f aca="false">MIN(K471*Parâmetros!$B$19,Parâmetros!$B$8)</f>
        <v>0.0244038339849275</v>
      </c>
      <c r="H471" s="3" t="str">
        <f aca="false">IF(F471&gt;=Parâmetros!$B$6,"Ação","Acompanhamento")</f>
        <v>Acompanhamento</v>
      </c>
      <c r="I471" s="17" t="n">
        <v>300.67940552017</v>
      </c>
      <c r="J471" s="11" t="n">
        <f aca="false">D471*I471</f>
        <v>3942430.87048832</v>
      </c>
      <c r="K471" s="7" t="n">
        <f aca="false">Parâmetros!$B$4+Parâmetros!$B$5*F471</f>
        <v>0.02</v>
      </c>
      <c r="L471" s="11" t="n">
        <f aca="false">D471*(1+G471)</f>
        <v>13431.7190496037</v>
      </c>
      <c r="M471" s="14" t="n">
        <v>0</v>
      </c>
      <c r="N471" s="4" t="n">
        <v>0.975308641975309</v>
      </c>
      <c r="O471" s="3" t="str">
        <f aca="false">IF(AND(B471=4,M471=1),IF(N471&lt;0.8,"Subgrupo 7 dias; fronteira de cluster","Subgrupo 7 dias"),IF(N471&lt;0.8,"Fronteira de cluster",""))</f>
        <v/>
      </c>
    </row>
    <row r="472" customFormat="false" ht="15" hidden="false" customHeight="false" outlineLevel="0" collapsed="false">
      <c r="A472" s="14" t="n">
        <v>471</v>
      </c>
      <c r="B472" s="14" t="n">
        <v>1</v>
      </c>
      <c r="C472" s="14" t="s">
        <v>30</v>
      </c>
      <c r="D472" s="15" t="n">
        <v>7109.75241157556</v>
      </c>
      <c r="E472" s="16" t="n">
        <f aca="false">INDEX(Parâmetros!$C$33:$C$37,MATCH(B472,Parâmetros!$A$33:$A$37,0))</f>
        <v>6959.92435130262</v>
      </c>
      <c r="F472" s="7" t="n">
        <f aca="false">MAX(0,(E472-D472)/D472)</f>
        <v>0</v>
      </c>
      <c r="G472" s="7" t="n">
        <f aca="false">MIN(K472*Parâmetros!$B$19,Parâmetros!$B$8)</f>
        <v>0.0244038339849275</v>
      </c>
      <c r="H472" s="3" t="str">
        <f aca="false">IF(F472&gt;=Parâmetros!$B$6,"Ação","Acompanhamento")</f>
        <v>Acompanhamento</v>
      </c>
      <c r="I472" s="17" t="n">
        <v>299.511873350924</v>
      </c>
      <c r="J472" s="11" t="n">
        <f aca="false">D472*I472</f>
        <v>2129455.26385224</v>
      </c>
      <c r="K472" s="7" t="n">
        <f aca="false">Parâmetros!$B$4+Parâmetros!$B$5*F472</f>
        <v>0.02</v>
      </c>
      <c r="L472" s="11" t="n">
        <f aca="false">D472*(1+G472)</f>
        <v>7283.25762910159</v>
      </c>
      <c r="M472" s="14" t="n">
        <v>0</v>
      </c>
      <c r="N472" s="4" t="n">
        <v>1</v>
      </c>
      <c r="O472" s="3" t="str">
        <f aca="false">IF(AND(B472=4,M472=1),IF(N472&lt;0.8,"Subgrupo 7 dias; fronteira de cluster","Subgrupo 7 dias"),IF(N472&lt;0.8,"Fronteira de cluster",""))</f>
        <v/>
      </c>
    </row>
    <row r="473" customFormat="false" ht="15" hidden="false" customHeight="false" outlineLevel="0" collapsed="false">
      <c r="A473" s="14" t="n">
        <v>472</v>
      </c>
      <c r="B473" s="14" t="n">
        <v>0</v>
      </c>
      <c r="C473" s="14" t="s">
        <v>29</v>
      </c>
      <c r="D473" s="15" t="n">
        <v>5204.65178571429</v>
      </c>
      <c r="E473" s="16" t="n">
        <f aca="false">INDEX(Parâmetros!$C$33:$C$37,MATCH(B473,Parâmetros!$A$33:$A$37,0))</f>
        <v>5476.37033462034</v>
      </c>
      <c r="F473" s="7" t="n">
        <f aca="false">MAX(0,(E473-D473)/D473)</f>
        <v>0.0522068641848167</v>
      </c>
      <c r="G473" s="7" t="n">
        <f aca="false">MIN(K473*Parâmetros!$B$19,Parâmetros!$B$8)</f>
        <v>0.0403294295654265</v>
      </c>
      <c r="H473" s="3" t="str">
        <f aca="false">IF(F473&gt;=Parâmetros!$B$6,"Ação","Acompanhamento")</f>
        <v>Acompanhamento</v>
      </c>
      <c r="I473" s="17" t="n">
        <v>303.779193205945</v>
      </c>
      <c r="J473" s="11" t="n">
        <f aca="false">D473*I473</f>
        <v>1581064.92038217</v>
      </c>
      <c r="K473" s="7" t="n">
        <f aca="false">Parâmetros!$B$4+Parâmetros!$B$5*F473</f>
        <v>0.0330517160462042</v>
      </c>
      <c r="L473" s="11" t="n">
        <f aca="false">D473*(1+G473)</f>
        <v>5414.55242331882</v>
      </c>
      <c r="M473" s="14" t="n">
        <v>0</v>
      </c>
      <c r="N473" s="4" t="n">
        <v>0.741176470588235</v>
      </c>
      <c r="O473" s="3" t="str">
        <f aca="false">IF(AND(B473=4,M473=1),IF(N473&lt;0.8,"Subgrupo 7 dias; fronteira de cluster","Subgrupo 7 dias"),IF(N473&lt;0.8,"Fronteira de cluster",""))</f>
        <v>Fronteira de cluster</v>
      </c>
    </row>
    <row r="474" customFormat="false" ht="15" hidden="false" customHeight="false" outlineLevel="0" collapsed="false">
      <c r="A474" s="14" t="n">
        <v>473</v>
      </c>
      <c r="B474" s="14" t="n">
        <v>0</v>
      </c>
      <c r="C474" s="14" t="s">
        <v>29</v>
      </c>
      <c r="D474" s="15" t="n">
        <v>3552.30166880616</v>
      </c>
      <c r="E474" s="16" t="n">
        <f aca="false">INDEX(Parâmetros!$C$33:$C$37,MATCH(B474,Parâmetros!$A$33:$A$37,0))</f>
        <v>5476.37033462034</v>
      </c>
      <c r="F474" s="7" t="n">
        <f aca="false">MAX(0,(E474-D474)/D474)</f>
        <v>0.541639997162967</v>
      </c>
      <c r="G474" s="7" t="n">
        <f aca="false">MIN(K474*Parâmetros!$B$19,Parâmetros!$B$8)</f>
        <v>0.189629991114448</v>
      </c>
      <c r="H474" s="3" t="str">
        <f aca="false">IF(F474&gt;=Parâmetros!$B$6,"Ação","Acompanhamento")</f>
        <v>Ação</v>
      </c>
      <c r="I474" s="17" t="n">
        <v>301.841825902336</v>
      </c>
      <c r="J474" s="11" t="n">
        <f aca="false">D474*I474</f>
        <v>1072233.22186837</v>
      </c>
      <c r="K474" s="7" t="n">
        <f aca="false">Parâmetros!$B$4+Parâmetros!$B$5*F474</f>
        <v>0.155409999290742</v>
      </c>
      <c r="L474" s="11" t="n">
        <f aca="false">D474*(1+G474)</f>
        <v>4225.92460269771</v>
      </c>
      <c r="M474" s="14" t="n">
        <v>0</v>
      </c>
      <c r="N474" s="4" t="n">
        <v>0.987341772151899</v>
      </c>
      <c r="O474" s="3" t="str">
        <f aca="false">IF(AND(B474=4,M474=1),IF(N474&lt;0.8,"Subgrupo 7 dias; fronteira de cluster","Subgrupo 7 dias"),IF(N474&lt;0.8,"Fronteira de cluster",""))</f>
        <v/>
      </c>
    </row>
    <row r="475" customFormat="false" ht="15" hidden="false" customHeight="false" outlineLevel="0" collapsed="false">
      <c r="A475" s="14" t="n">
        <v>474</v>
      </c>
      <c r="B475" s="14" t="n">
        <v>1</v>
      </c>
      <c r="C475" s="14" t="s">
        <v>30</v>
      </c>
      <c r="D475" s="15" t="n">
        <v>7526.81841432225</v>
      </c>
      <c r="E475" s="16" t="n">
        <f aca="false">INDEX(Parâmetros!$C$33:$C$37,MATCH(B475,Parâmetros!$A$33:$A$37,0))</f>
        <v>6959.92435130262</v>
      </c>
      <c r="F475" s="7" t="n">
        <f aca="false">MAX(0,(E475-D475)/D475)</f>
        <v>0</v>
      </c>
      <c r="G475" s="7" t="n">
        <f aca="false">MIN(K475*Parâmetros!$B$19,Parâmetros!$B$8)</f>
        <v>0.0244038339849275</v>
      </c>
      <c r="H475" s="3" t="str">
        <f aca="false">IF(F475&gt;=Parâmetros!$B$6,"Ação","Acompanhamento")</f>
        <v>Acompanhamento</v>
      </c>
      <c r="I475" s="17" t="n">
        <v>303.004246284501</v>
      </c>
      <c r="J475" s="11" t="n">
        <f aca="false">D475*I475</f>
        <v>2280657.94055202</v>
      </c>
      <c r="K475" s="7" t="n">
        <f aca="false">Parâmetros!$B$4+Parâmetros!$B$5*F475</f>
        <v>0.02</v>
      </c>
      <c r="L475" s="11" t="n">
        <f aca="false">D475*(1+G475)</f>
        <v>7710.50164134007</v>
      </c>
      <c r="M475" s="14" t="n">
        <v>0</v>
      </c>
      <c r="N475" s="4" t="n">
        <v>1</v>
      </c>
      <c r="O475" s="3" t="str">
        <f aca="false">IF(AND(B475=4,M475=1),IF(N475&lt;0.8,"Subgrupo 7 dias; fronteira de cluster","Subgrupo 7 dias"),IF(N475&lt;0.8,"Fronteira de cluster",""))</f>
        <v/>
      </c>
    </row>
    <row r="476" customFormat="false" ht="15" hidden="false" customHeight="false" outlineLevel="0" collapsed="false">
      <c r="A476" s="14" t="n">
        <v>475</v>
      </c>
      <c r="B476" s="14" t="n">
        <v>4</v>
      </c>
      <c r="C476" s="14" t="s">
        <v>33</v>
      </c>
      <c r="D476" s="15" t="n">
        <v>6473.81443298969</v>
      </c>
      <c r="E476" s="16" t="n">
        <f aca="false">INDEX(Parâmetros!$C$33:$C$37,MATCH(B476,Parâmetros!$A$33:$A$37,0))</f>
        <v>8837.10512820513</v>
      </c>
      <c r="F476" s="7" t="n">
        <f aca="false">MAX(0,(E476-D476)/D476)</f>
        <v>0.365053821001174</v>
      </c>
      <c r="G476" s="7" t="n">
        <f aca="false">MIN(K476*Parâmetros!$B$19,Parâmetros!$B$8)</f>
        <v>0.135762744525878</v>
      </c>
      <c r="H476" s="3" t="str">
        <f aca="false">IF(F476&gt;=Parâmetros!$B$6,"Ação","Acompanhamento")</f>
        <v>Ação</v>
      </c>
      <c r="I476" s="17" t="n">
        <v>300.67940552017</v>
      </c>
      <c r="J476" s="11" t="n">
        <f aca="false">D476*I476</f>
        <v>1946542.67515924</v>
      </c>
      <c r="K476" s="7" t="n">
        <f aca="false">Parâmetros!$B$4+Parâmetros!$B$5*F476</f>
        <v>0.111263455250294</v>
      </c>
      <c r="L476" s="11" t="n">
        <f aca="false">D476*(1+G476)</f>
        <v>7352.71724796362</v>
      </c>
      <c r="M476" s="14" t="n">
        <v>0</v>
      </c>
      <c r="N476" s="4" t="n">
        <v>0.779069767441861</v>
      </c>
      <c r="O476" s="3" t="str">
        <f aca="false">IF(AND(B476=4,M476=1),IF(N476&lt;0.8,"Subgrupo 7 dias; fronteira de cluster","Subgrupo 7 dias"),IF(N476&lt;0.8,"Fronteira de cluster",""))</f>
        <v>Fronteira de cluster</v>
      </c>
    </row>
    <row r="477" customFormat="false" ht="15" hidden="false" customHeight="false" outlineLevel="0" collapsed="false">
      <c r="A477" s="14" t="n">
        <v>476</v>
      </c>
      <c r="B477" s="14" t="n">
        <v>3</v>
      </c>
      <c r="C477" s="14" t="s">
        <v>32</v>
      </c>
      <c r="D477" s="15" t="n">
        <v>5851.60384615385</v>
      </c>
      <c r="E477" s="16" t="n">
        <f aca="false">INDEX(Parâmetros!$C$33:$C$37,MATCH(B477,Parâmetros!$A$33:$A$37,0))</f>
        <v>5909.24487179487</v>
      </c>
      <c r="F477" s="7" t="n">
        <f aca="false">MAX(0,(E477-D477)/D477)</f>
        <v>0.0098504661553449</v>
      </c>
      <c r="G477" s="7" t="n">
        <f aca="false">MIN(K477*Parâmetros!$B$19,Parâmetros!$B$8)</f>
        <v>0.0274086982440422</v>
      </c>
      <c r="H477" s="3" t="str">
        <f aca="false">IF(F477&gt;=Parâmetros!$B$6,"Ação","Acompanhamento")</f>
        <v>Acompanhamento</v>
      </c>
      <c r="I477" s="17" t="n">
        <v>302.229299363057</v>
      </c>
      <c r="J477" s="11" t="n">
        <f aca="false">D477*I477</f>
        <v>1768526.13057325</v>
      </c>
      <c r="K477" s="7" t="n">
        <f aca="false">Parâmetros!$B$4+Parâmetros!$B$5*F477</f>
        <v>0.0224626165388362</v>
      </c>
      <c r="L477" s="11" t="n">
        <f aca="false">D477*(1+G477)</f>
        <v>6011.98869021676</v>
      </c>
      <c r="M477" s="14" t="n">
        <v>0</v>
      </c>
      <c r="N477" s="4" t="n">
        <v>1</v>
      </c>
      <c r="O477" s="3" t="str">
        <f aca="false">IF(AND(B477=4,M477=1),IF(N477&lt;0.8,"Subgrupo 7 dias; fronteira de cluster","Subgrupo 7 dias"),IF(N477&lt;0.8,"Fronteira de cluster",""))</f>
        <v/>
      </c>
    </row>
    <row r="478" customFormat="false" ht="15" hidden="false" customHeight="false" outlineLevel="0" collapsed="false">
      <c r="A478" s="14" t="n">
        <v>477</v>
      </c>
      <c r="B478" s="14" t="n">
        <v>1</v>
      </c>
      <c r="C478" s="14" t="s">
        <v>30</v>
      </c>
      <c r="D478" s="15" t="n">
        <v>6213.68810289389</v>
      </c>
      <c r="E478" s="16" t="n">
        <f aca="false">INDEX(Parâmetros!$C$33:$C$37,MATCH(B478,Parâmetros!$A$33:$A$37,0))</f>
        <v>6959.92435130262</v>
      </c>
      <c r="F478" s="7" t="n">
        <f aca="false">MAX(0,(E478-D478)/D478)</f>
        <v>0.120095543266999</v>
      </c>
      <c r="G478" s="7" t="n">
        <f aca="false">MIN(K478*Parâmetros!$B$19,Parâmetros!$B$8)</f>
        <v>0.0610387302376464</v>
      </c>
      <c r="H478" s="3" t="str">
        <f aca="false">IF(F478&gt;=Parâmetros!$B$6,"Ação","Acompanhamento")</f>
        <v>Ação</v>
      </c>
      <c r="I478" s="17" t="n">
        <v>299.511873350924</v>
      </c>
      <c r="J478" s="11" t="n">
        <f aca="false">D478*I478</f>
        <v>1861073.3641161</v>
      </c>
      <c r="K478" s="7" t="n">
        <f aca="false">Parâmetros!$B$4+Parâmetros!$B$5*F478</f>
        <v>0.0500238858167498</v>
      </c>
      <c r="L478" s="11" t="n">
        <f aca="false">D478*(1+G478)</f>
        <v>6592.9637347873</v>
      </c>
      <c r="M478" s="14" t="n">
        <v>0</v>
      </c>
      <c r="N478" s="4" t="n">
        <v>1</v>
      </c>
      <c r="O478" s="3" t="str">
        <f aca="false">IF(AND(B478=4,M478=1),IF(N478&lt;0.8,"Subgrupo 7 dias; fronteira de cluster","Subgrupo 7 dias"),IF(N478&lt;0.8,"Fronteira de cluster",""))</f>
        <v/>
      </c>
    </row>
    <row r="479" customFormat="false" ht="15" hidden="false" customHeight="false" outlineLevel="0" collapsed="false">
      <c r="A479" s="14" t="n">
        <v>478</v>
      </c>
      <c r="B479" s="14" t="n">
        <v>0</v>
      </c>
      <c r="C479" s="14" t="s">
        <v>29</v>
      </c>
      <c r="D479" s="15" t="n">
        <v>6806.94897959184</v>
      </c>
      <c r="E479" s="16" t="n">
        <f aca="false">INDEX(Parâmetros!$C$33:$C$37,MATCH(B479,Parâmetros!$A$33:$A$37,0))</f>
        <v>5476.37033462034</v>
      </c>
      <c r="F479" s="7" t="n">
        <f aca="false">MAX(0,(E479-D479)/D479)</f>
        <v>0</v>
      </c>
      <c r="G479" s="7" t="n">
        <f aca="false">MIN(K479*Parâmetros!$B$19,Parâmetros!$B$8)</f>
        <v>0.0244038339849275</v>
      </c>
      <c r="H479" s="3" t="str">
        <f aca="false">IF(F479&gt;=Parâmetros!$B$6,"Ação","Acompanhamento")</f>
        <v>Acompanhamento</v>
      </c>
      <c r="I479" s="17" t="n">
        <v>303.779193205945</v>
      </c>
      <c r="J479" s="11" t="n">
        <f aca="false">D479*I479</f>
        <v>2067809.46921444</v>
      </c>
      <c r="K479" s="7" t="n">
        <f aca="false">Parâmetros!$B$4+Parâmetros!$B$5*F479</f>
        <v>0.02</v>
      </c>
      <c r="L479" s="11" t="n">
        <f aca="false">D479*(1+G479)</f>
        <v>6973.06463243367</v>
      </c>
      <c r="M479" s="14" t="n">
        <v>0</v>
      </c>
      <c r="N479" s="4" t="n">
        <v>0.987012987012987</v>
      </c>
      <c r="O479" s="3" t="str">
        <f aca="false">IF(AND(B479=4,M479=1),IF(N479&lt;0.8,"Subgrupo 7 dias; fronteira de cluster","Subgrupo 7 dias"),IF(N479&lt;0.8,"Fronteira de cluster",""))</f>
        <v/>
      </c>
    </row>
    <row r="480" customFormat="false" ht="15" hidden="false" customHeight="false" outlineLevel="0" collapsed="false">
      <c r="A480" s="14" t="n">
        <v>479</v>
      </c>
      <c r="B480" s="14" t="n">
        <v>4</v>
      </c>
      <c r="C480" s="14" t="s">
        <v>33</v>
      </c>
      <c r="D480" s="15" t="n">
        <v>11230.8797953964</v>
      </c>
      <c r="E480" s="16" t="n">
        <f aca="false">INDEX(Parâmetros!$C$33:$C$37,MATCH(B480,Parâmetros!$A$33:$A$37,0))</f>
        <v>8837.10512820513</v>
      </c>
      <c r="F480" s="7" t="n">
        <f aca="false">MAX(0,(E480-D480)/D480)</f>
        <v>0</v>
      </c>
      <c r="G480" s="7" t="n">
        <f aca="false">MIN(K480*Parâmetros!$B$19,Parâmetros!$B$8)</f>
        <v>0.0244038339849275</v>
      </c>
      <c r="H480" s="3" t="str">
        <f aca="false">IF(F480&gt;=Parâmetros!$B$6,"Ação","Acompanhamento")</f>
        <v>Acompanhamento</v>
      </c>
      <c r="I480" s="17" t="n">
        <v>303.004246284501</v>
      </c>
      <c r="J480" s="11" t="n">
        <f aca="false">D480*I480</f>
        <v>3403004.26751592</v>
      </c>
      <c r="K480" s="7" t="n">
        <f aca="false">Parâmetros!$B$4+Parâmetros!$B$5*F480</f>
        <v>0.02</v>
      </c>
      <c r="L480" s="11" t="n">
        <f aca="false">D480*(1+G480)</f>
        <v>11504.956321428</v>
      </c>
      <c r="M480" s="14" t="n">
        <v>0</v>
      </c>
      <c r="N480" s="4" t="n">
        <v>0.938271604938272</v>
      </c>
      <c r="O480" s="3" t="str">
        <f aca="false">IF(AND(B480=4,M480=1),IF(N480&lt;0.8,"Subgrupo 7 dias; fronteira de cluster","Subgrupo 7 dias"),IF(N480&lt;0.8,"Fronteira de cluster",""))</f>
        <v/>
      </c>
    </row>
    <row r="481" customFormat="false" ht="15" hidden="false" customHeight="false" outlineLevel="0" collapsed="false">
      <c r="A481" s="14" t="n">
        <v>480</v>
      </c>
      <c r="B481" s="14" t="n">
        <v>0</v>
      </c>
      <c r="C481" s="14" t="s">
        <v>29</v>
      </c>
      <c r="D481" s="15" t="n">
        <v>4935.89030612245</v>
      </c>
      <c r="E481" s="16" t="n">
        <f aca="false">INDEX(Parâmetros!$C$33:$C$37,MATCH(B481,Parâmetros!$A$33:$A$37,0))</f>
        <v>5476.37033462034</v>
      </c>
      <c r="F481" s="7" t="n">
        <f aca="false">MAX(0,(E481-D481)/D481)</f>
        <v>0.109500008099345</v>
      </c>
      <c r="G481" s="7" t="n">
        <f aca="false">MIN(K481*Parâmetros!$B$19,Parâmetros!$B$8)</f>
        <v>0.0578065842224852</v>
      </c>
      <c r="H481" s="3" t="str">
        <f aca="false">IF(F481&gt;=Parâmetros!$B$6,"Ação","Acompanhamento")</f>
        <v>Ação</v>
      </c>
      <c r="I481" s="17" t="n">
        <v>303.779193205945</v>
      </c>
      <c r="J481" s="11" t="n">
        <f aca="false">D481*I481</f>
        <v>1499420.77494692</v>
      </c>
      <c r="K481" s="7" t="n">
        <f aca="false">Parâmetros!$B$4+Parâmetros!$B$5*F481</f>
        <v>0.0473750020248362</v>
      </c>
      <c r="L481" s="11" t="n">
        <f aca="false">D481*(1+G481)</f>
        <v>5221.21726481627</v>
      </c>
      <c r="M481" s="14" t="n">
        <v>0</v>
      </c>
      <c r="N481" s="4" t="n">
        <v>1</v>
      </c>
      <c r="O481" s="3" t="str">
        <f aca="false">IF(AND(B481=4,M481=1),IF(N481&lt;0.8,"Subgrupo 7 dias; fronteira de cluster","Subgrupo 7 dias"),IF(N481&lt;0.8,"Fronteira de cluster",""))</f>
        <v/>
      </c>
    </row>
    <row r="482" customFormat="false" ht="15" hidden="false" customHeight="false" outlineLevel="0" collapsed="false">
      <c r="A482" s="14" t="n">
        <v>481</v>
      </c>
      <c r="B482" s="14" t="n">
        <v>1</v>
      </c>
      <c r="C482" s="14" t="s">
        <v>30</v>
      </c>
      <c r="D482" s="15" t="n">
        <v>5155.37900128041</v>
      </c>
      <c r="E482" s="16" t="n">
        <f aca="false">INDEX(Parâmetros!$C$33:$C$37,MATCH(B482,Parâmetros!$A$33:$A$37,0))</f>
        <v>6959.92435130262</v>
      </c>
      <c r="F482" s="7" t="n">
        <f aca="false">MAX(0,(E482-D482)/D482)</f>
        <v>0.350031559187798</v>
      </c>
      <c r="G482" s="7" t="n">
        <f aca="false">MIN(K482*Parâmetros!$B$19,Parâmetros!$B$8)</f>
        <v>0.131180234733731</v>
      </c>
      <c r="H482" s="3" t="str">
        <f aca="false">IF(F482&gt;=Parâmetros!$B$6,"Ação","Acompanhamento")</f>
        <v>Ação</v>
      </c>
      <c r="I482" s="17" t="n">
        <v>302.616772823779</v>
      </c>
      <c r="J482" s="11" t="n">
        <f aca="false">D482*I482</f>
        <v>1560104.15605096</v>
      </c>
      <c r="K482" s="7" t="n">
        <f aca="false">Parâmetros!$B$4+Parâmetros!$B$5*F482</f>
        <v>0.107507889796949</v>
      </c>
      <c r="L482" s="11" t="n">
        <f aca="false">D482*(1+G482)</f>
        <v>5831.66282880972</v>
      </c>
      <c r="M482" s="14" t="n">
        <v>0</v>
      </c>
      <c r="N482" s="4" t="n">
        <v>0.857142857142857</v>
      </c>
      <c r="O482" s="3" t="str">
        <f aca="false">IF(AND(B482=4,M482=1),IF(N482&lt;0.8,"Subgrupo 7 dias; fronteira de cluster","Subgrupo 7 dias"),IF(N482&lt;0.8,"Fronteira de cluster",""))</f>
        <v/>
      </c>
    </row>
    <row r="483" customFormat="false" ht="15" hidden="false" customHeight="false" outlineLevel="0" collapsed="false">
      <c r="A483" s="14" t="n">
        <v>482</v>
      </c>
      <c r="B483" s="14" t="n">
        <v>2</v>
      </c>
      <c r="C483" s="14" t="s">
        <v>31</v>
      </c>
      <c r="D483" s="15" t="n">
        <v>8334.61764705882</v>
      </c>
      <c r="E483" s="16" t="n">
        <f aca="false">INDEX(Parâmetros!$C$33:$C$37,MATCH(B483,Parâmetros!$A$33:$A$37,0))</f>
        <v>6324.80102695764</v>
      </c>
      <c r="F483" s="7" t="n">
        <f aca="false">MAX(0,(E483-D483)/D483)</f>
        <v>0</v>
      </c>
      <c r="G483" s="7" t="n">
        <f aca="false">MIN(K483*Parâmetros!$B$19,Parâmetros!$B$8)</f>
        <v>0.0244038339849275</v>
      </c>
      <c r="H483" s="3" t="str">
        <f aca="false">IF(F483&gt;=Parâmetros!$B$6,"Ação","Acompanhamento")</f>
        <v>Acompanhamento</v>
      </c>
      <c r="I483" s="17" t="n">
        <v>303.004246284501</v>
      </c>
      <c r="J483" s="11" t="n">
        <f aca="false">D483*I483</f>
        <v>2525424.53821656</v>
      </c>
      <c r="K483" s="7" t="n">
        <f aca="false">Parâmetros!$B$4+Parâmetros!$B$5*F483</f>
        <v>0.02</v>
      </c>
      <c r="L483" s="11" t="n">
        <f aca="false">D483*(1+G483)</f>
        <v>8538.01427244549</v>
      </c>
      <c r="M483" s="14" t="n">
        <v>0</v>
      </c>
      <c r="N483" s="4" t="n">
        <v>0.860759493670886</v>
      </c>
      <c r="O483" s="3" t="str">
        <f aca="false">IF(AND(B483=4,M483=1),IF(N483&lt;0.8,"Subgrupo 7 dias; fronteira de cluster","Subgrupo 7 dias"),IF(N483&lt;0.8,"Fronteira de cluster",""))</f>
        <v/>
      </c>
    </row>
    <row r="484" customFormat="false" ht="15" hidden="false" customHeight="false" outlineLevel="0" collapsed="false">
      <c r="A484" s="14" t="n">
        <v>483</v>
      </c>
      <c r="B484" s="14" t="n">
        <v>3</v>
      </c>
      <c r="C484" s="14" t="s">
        <v>32</v>
      </c>
      <c r="D484" s="15" t="n">
        <v>4948.42435897436</v>
      </c>
      <c r="E484" s="16" t="n">
        <f aca="false">INDEX(Parâmetros!$C$33:$C$37,MATCH(B484,Parâmetros!$A$33:$A$37,0))</f>
        <v>5909.24487179487</v>
      </c>
      <c r="F484" s="7" t="n">
        <f aca="false">MAX(0,(E484-D484)/D484)</f>
        <v>0.194166959646052</v>
      </c>
      <c r="G484" s="7" t="n">
        <f aca="false">MIN(K484*Parâmetros!$B$19,Parâmetros!$B$8)</f>
        <v>0.0836340620919318</v>
      </c>
      <c r="H484" s="3" t="str">
        <f aca="false">IF(F484&gt;=Parâmetros!$B$6,"Ação","Acompanhamento")</f>
        <v>Ação</v>
      </c>
      <c r="I484" s="17" t="n">
        <v>302.229299363057</v>
      </c>
      <c r="J484" s="11" t="n">
        <f aca="false">D484*I484</f>
        <v>1495558.82696391</v>
      </c>
      <c r="K484" s="7" t="n">
        <f aca="false">Parâmetros!$B$4+Parâmetros!$B$5*F484</f>
        <v>0.0685417399115129</v>
      </c>
      <c r="L484" s="11" t="n">
        <f aca="false">D484*(1+G484)</f>
        <v>5362.28118907005</v>
      </c>
      <c r="M484" s="14" t="n">
        <v>0</v>
      </c>
      <c r="N484" s="4" t="n">
        <v>1</v>
      </c>
      <c r="O484" s="3" t="str">
        <f aca="false">IF(AND(B484=4,M484=1),IF(N484&lt;0.8,"Subgrupo 7 dias; fronteira de cluster","Subgrupo 7 dias"),IF(N484&lt;0.8,"Fronteira de cluster",""))</f>
        <v/>
      </c>
    </row>
    <row r="485" customFormat="false" ht="15" hidden="false" customHeight="false" outlineLevel="0" collapsed="false">
      <c r="A485" s="14" t="n">
        <v>484</v>
      </c>
      <c r="B485" s="14" t="n">
        <v>1</v>
      </c>
      <c r="C485" s="14" t="s">
        <v>30</v>
      </c>
      <c r="D485" s="15" t="n">
        <v>7717.66964285714</v>
      </c>
      <c r="E485" s="16" t="n">
        <f aca="false">INDEX(Parâmetros!$C$33:$C$37,MATCH(B485,Parâmetros!$A$33:$A$37,0))</f>
        <v>6959.92435130262</v>
      </c>
      <c r="F485" s="7" t="n">
        <f aca="false">MAX(0,(E485-D485)/D485)</f>
        <v>0</v>
      </c>
      <c r="G485" s="7" t="n">
        <f aca="false">MIN(K485*Parâmetros!$B$19,Parâmetros!$B$8)</f>
        <v>0.0244038339849275</v>
      </c>
      <c r="H485" s="3" t="str">
        <f aca="false">IF(F485&gt;=Parâmetros!$B$6,"Ação","Acompanhamento")</f>
        <v>Acompanhamento</v>
      </c>
      <c r="I485" s="17" t="n">
        <v>303.779193205945</v>
      </c>
      <c r="J485" s="11" t="n">
        <f aca="false">D485*I485</f>
        <v>2344467.45753716</v>
      </c>
      <c r="K485" s="7" t="n">
        <f aca="false">Parâmetros!$B$4+Parâmetros!$B$5*F485</f>
        <v>0.02</v>
      </c>
      <c r="L485" s="11" t="n">
        <f aca="false">D485*(1+G485)</f>
        <v>7906.01037157194</v>
      </c>
      <c r="M485" s="14" t="n">
        <v>0</v>
      </c>
      <c r="N485" s="4" t="n">
        <v>1</v>
      </c>
      <c r="O485" s="3" t="str">
        <f aca="false">IF(AND(B485=4,M485=1),IF(N485&lt;0.8,"Subgrupo 7 dias; fronteira de cluster","Subgrupo 7 dias"),IF(N485&lt;0.8,"Fronteira de cluster",""))</f>
        <v/>
      </c>
    </row>
    <row r="486" customFormat="false" ht="15" hidden="false" customHeight="false" outlineLevel="0" collapsed="false">
      <c r="A486" s="14" t="n">
        <v>485</v>
      </c>
      <c r="B486" s="14" t="n">
        <v>1</v>
      </c>
      <c r="C486" s="14" t="s">
        <v>30</v>
      </c>
      <c r="D486" s="15" t="n">
        <v>4871.01125401929</v>
      </c>
      <c r="E486" s="16" t="n">
        <f aca="false">INDEX(Parâmetros!$C$33:$C$37,MATCH(B486,Parâmetros!$A$33:$A$37,0))</f>
        <v>6959.92435130262</v>
      </c>
      <c r="F486" s="7" t="n">
        <f aca="false">MAX(0,(E486-D486)/D486)</f>
        <v>0.428845877857431</v>
      </c>
      <c r="G486" s="7" t="n">
        <f aca="false">MIN(K486*Parâmetros!$B$19,Parâmetros!$B$8)</f>
        <v>0.155222379089343</v>
      </c>
      <c r="H486" s="3" t="str">
        <f aca="false">IF(F486&gt;=Parâmetros!$B$6,"Ação","Acompanhamento")</f>
        <v>Ação</v>
      </c>
      <c r="I486" s="17" t="n">
        <v>299.511873350924</v>
      </c>
      <c r="J486" s="11" t="n">
        <f aca="false">D486*I486</f>
        <v>1458925.70580475</v>
      </c>
      <c r="K486" s="7" t="n">
        <f aca="false">Parâmetros!$B$4+Parâmetros!$B$5*F486</f>
        <v>0.127211469464358</v>
      </c>
      <c r="L486" s="11" t="n">
        <f aca="false">D486*(1+G486)</f>
        <v>5627.10120943913</v>
      </c>
      <c r="M486" s="14" t="n">
        <v>0</v>
      </c>
      <c r="N486" s="4" t="n">
        <v>1</v>
      </c>
      <c r="O486" s="3" t="str">
        <f aca="false">IF(AND(B486=4,M486=1),IF(N486&lt;0.8,"Subgrupo 7 dias; fronteira de cluster","Subgrupo 7 dias"),IF(N486&lt;0.8,"Fronteira de cluster",""))</f>
        <v/>
      </c>
    </row>
    <row r="487" customFormat="false" ht="15" hidden="false" customHeight="false" outlineLevel="0" collapsed="false">
      <c r="A487" s="14" t="n">
        <v>486</v>
      </c>
      <c r="B487" s="14" t="n">
        <v>0</v>
      </c>
      <c r="C487" s="14" t="s">
        <v>29</v>
      </c>
      <c r="D487" s="15" t="n">
        <v>4266.7432605905</v>
      </c>
      <c r="E487" s="16" t="n">
        <f aca="false">INDEX(Parâmetros!$C$33:$C$37,MATCH(B487,Parâmetros!$A$33:$A$37,0))</f>
        <v>5476.37033462034</v>
      </c>
      <c r="F487" s="7" t="n">
        <f aca="false">MAX(0,(E487-D487)/D487)</f>
        <v>0.283501256145987</v>
      </c>
      <c r="G487" s="7" t="n">
        <f aca="false">MIN(K487*Parâmetros!$B$19,Parâmetros!$B$8)</f>
        <v>0.110885303853741</v>
      </c>
      <c r="H487" s="3" t="str">
        <f aca="false">IF(F487&gt;=Parâmetros!$B$6,"Ação","Acompanhamento")</f>
        <v>Ação</v>
      </c>
      <c r="I487" s="17" t="n">
        <v>301.841825902336</v>
      </c>
      <c r="J487" s="11" t="n">
        <f aca="false">D487*I487</f>
        <v>1287881.57643312</v>
      </c>
      <c r="K487" s="7" t="n">
        <f aca="false">Parâmetros!$B$4+Parâmetros!$B$5*F487</f>
        <v>0.0908753140364969</v>
      </c>
      <c r="L487" s="11" t="n">
        <f aca="false">D487*(1+G487)</f>
        <v>4739.86238350698</v>
      </c>
      <c r="M487" s="14" t="n">
        <v>0</v>
      </c>
      <c r="N487" s="4" t="n">
        <v>0.975609756097561</v>
      </c>
      <c r="O487" s="3" t="str">
        <f aca="false">IF(AND(B487=4,M487=1),IF(N487&lt;0.8,"Subgrupo 7 dias; fronteira de cluster","Subgrupo 7 dias"),IF(N487&lt;0.8,"Fronteira de cluster",""))</f>
        <v/>
      </c>
    </row>
    <row r="488" customFormat="false" ht="15" hidden="false" customHeight="false" outlineLevel="0" collapsed="false">
      <c r="A488" s="14" t="n">
        <v>487</v>
      </c>
      <c r="B488" s="14" t="n">
        <v>1</v>
      </c>
      <c r="C488" s="14" t="s">
        <v>30</v>
      </c>
      <c r="D488" s="15" t="n">
        <v>6999.29974489796</v>
      </c>
      <c r="E488" s="16" t="n">
        <f aca="false">INDEX(Parâmetros!$C$33:$C$37,MATCH(B488,Parâmetros!$A$33:$A$37,0))</f>
        <v>6959.92435130262</v>
      </c>
      <c r="F488" s="7" t="n">
        <f aca="false">MAX(0,(E488-D488)/D488)</f>
        <v>0</v>
      </c>
      <c r="G488" s="7" t="n">
        <f aca="false">MIN(K488*Parâmetros!$B$19,Parâmetros!$B$8)</f>
        <v>0.0244038339849275</v>
      </c>
      <c r="H488" s="3" t="str">
        <f aca="false">IF(F488&gt;=Parâmetros!$B$6,"Ação","Acompanhamento")</f>
        <v>Acompanhamento</v>
      </c>
      <c r="I488" s="17" t="n">
        <v>303.779193205945</v>
      </c>
      <c r="J488" s="11" t="n">
        <f aca="false">D488*I488</f>
        <v>2126241.62951168</v>
      </c>
      <c r="K488" s="7" t="n">
        <f aca="false">Parâmetros!$B$4+Parâmetros!$B$5*F488</f>
        <v>0.02</v>
      </c>
      <c r="L488" s="11" t="n">
        <f aca="false">D488*(1+G488)</f>
        <v>7170.1094938832</v>
      </c>
      <c r="M488" s="14" t="n">
        <v>0</v>
      </c>
      <c r="N488" s="4" t="n">
        <v>1</v>
      </c>
      <c r="O488" s="3" t="str">
        <f aca="false">IF(AND(B488=4,M488=1),IF(N488&lt;0.8,"Subgrupo 7 dias; fronteira de cluster","Subgrupo 7 dias"),IF(N488&lt;0.8,"Fronteira de cluster",""))</f>
        <v/>
      </c>
    </row>
    <row r="489" customFormat="false" ht="15" hidden="false" customHeight="false" outlineLevel="0" collapsed="false">
      <c r="A489" s="14" t="n">
        <v>488</v>
      </c>
      <c r="B489" s="14" t="n">
        <v>0</v>
      </c>
      <c r="C489" s="14" t="s">
        <v>29</v>
      </c>
      <c r="D489" s="15" t="n">
        <v>3686.31887755102</v>
      </c>
      <c r="E489" s="16" t="n">
        <f aca="false">INDEX(Parâmetros!$C$33:$C$37,MATCH(B489,Parâmetros!$A$33:$A$37,0))</f>
        <v>5476.37033462034</v>
      </c>
      <c r="F489" s="7" t="n">
        <f aca="false">MAX(0,(E489-D489)/D489)</f>
        <v>0.485593220914877</v>
      </c>
      <c r="G489" s="7" t="n">
        <f aca="false">MIN(K489*Parâmetros!$B$19,Parâmetros!$B$8)</f>
        <v>0.172533038327588</v>
      </c>
      <c r="H489" s="3" t="str">
        <f aca="false">IF(F489&gt;=Parâmetros!$B$6,"Ação","Acompanhamento")</f>
        <v>Ação</v>
      </c>
      <c r="I489" s="17" t="n">
        <v>303.779193205945</v>
      </c>
      <c r="J489" s="11" t="n">
        <f aca="false">D489*I489</f>
        <v>1119826.97452229</v>
      </c>
      <c r="K489" s="7" t="n">
        <f aca="false">Parâmetros!$B$4+Parâmetros!$B$5*F489</f>
        <v>0.141398305228719</v>
      </c>
      <c r="L489" s="11" t="n">
        <f aca="false">D489*(1+G489)</f>
        <v>4322.33067373924</v>
      </c>
      <c r="M489" s="14" t="n">
        <v>0</v>
      </c>
      <c r="N489" s="4" t="n">
        <v>0.835616438356164</v>
      </c>
      <c r="O489" s="3" t="str">
        <f aca="false">IF(AND(B489=4,M489=1),IF(N489&lt;0.8,"Subgrupo 7 dias; fronteira de cluster","Subgrupo 7 dias"),IF(N489&lt;0.8,"Fronteira de cluster",""))</f>
        <v/>
      </c>
    </row>
    <row r="490" customFormat="false" ht="15" hidden="false" customHeight="false" outlineLevel="0" collapsed="false">
      <c r="A490" s="14" t="n">
        <v>489</v>
      </c>
      <c r="B490" s="14" t="n">
        <v>3</v>
      </c>
      <c r="C490" s="14" t="s">
        <v>32</v>
      </c>
      <c r="D490" s="15" t="n">
        <v>7306.36794871795</v>
      </c>
      <c r="E490" s="16" t="n">
        <f aca="false">INDEX(Parâmetros!$C$33:$C$37,MATCH(B490,Parâmetros!$A$33:$A$37,0))</f>
        <v>5909.24487179487</v>
      </c>
      <c r="F490" s="7" t="n">
        <f aca="false">MAX(0,(E490-D490)/D490)</f>
        <v>0</v>
      </c>
      <c r="G490" s="7" t="n">
        <f aca="false">MIN(K490*Parâmetros!$B$19,Parâmetros!$B$8)</f>
        <v>0.0244038339849275</v>
      </c>
      <c r="H490" s="3" t="str">
        <f aca="false">IF(F490&gt;=Parâmetros!$B$6,"Ação","Acompanhamento")</f>
        <v>Acompanhamento</v>
      </c>
      <c r="I490" s="17" t="n">
        <v>302.229299363057</v>
      </c>
      <c r="J490" s="11" t="n">
        <f aca="false">D490*I490</f>
        <v>2208198.46602972</v>
      </c>
      <c r="K490" s="7" t="n">
        <f aca="false">Parâmetros!$B$4+Parâmetros!$B$5*F490</f>
        <v>0.02</v>
      </c>
      <c r="L490" s="11" t="n">
        <f aca="false">D490*(1+G490)</f>
        <v>7484.67133917126</v>
      </c>
      <c r="M490" s="14" t="n">
        <v>0</v>
      </c>
      <c r="N490" s="4" t="n">
        <v>1</v>
      </c>
      <c r="O490" s="3" t="str">
        <f aca="false">IF(AND(B490=4,M490=1),IF(N490&lt;0.8,"Subgrupo 7 dias; fronteira de cluster","Subgrupo 7 dias"),IF(N490&lt;0.8,"Fronteira de cluster",""))</f>
        <v/>
      </c>
    </row>
    <row r="491" customFormat="false" ht="15" hidden="false" customHeight="false" outlineLevel="0" collapsed="false">
      <c r="A491" s="14" t="n">
        <v>490</v>
      </c>
      <c r="B491" s="14" t="n">
        <v>4</v>
      </c>
      <c r="C491" s="14" t="s">
        <v>33</v>
      </c>
      <c r="D491" s="15" t="n">
        <v>8249.72829581994</v>
      </c>
      <c r="E491" s="16" t="n">
        <f aca="false">INDEX(Parâmetros!$C$33:$C$37,MATCH(B491,Parâmetros!$A$33:$A$37,0))</f>
        <v>8837.10512820513</v>
      </c>
      <c r="F491" s="7" t="n">
        <f aca="false">MAX(0,(E491-D491)/D491)</f>
        <v>0.0711995366784154</v>
      </c>
      <c r="G491" s="7" t="n">
        <f aca="false">MIN(K491*Parâmetros!$B$19,Parâmetros!$B$8)</f>
        <v>0.046123104896225</v>
      </c>
      <c r="H491" s="3" t="str">
        <f aca="false">IF(F491&gt;=Parâmetros!$B$6,"Ação","Acompanhamento")</f>
        <v>Acompanhamento</v>
      </c>
      <c r="I491" s="17" t="n">
        <v>299.511873350924</v>
      </c>
      <c r="J491" s="11" t="n">
        <f aca="false">D491*I491</f>
        <v>2470891.57651715</v>
      </c>
      <c r="K491" s="7" t="n">
        <f aca="false">Parâmetros!$B$4+Parâmetros!$B$5*F491</f>
        <v>0.0377998841696039</v>
      </c>
      <c r="L491" s="11" t="n">
        <f aca="false">D491*(1+G491)</f>
        <v>8630.23137937339</v>
      </c>
      <c r="M491" s="14" t="n">
        <v>0</v>
      </c>
      <c r="N491" s="4" t="n">
        <v>1</v>
      </c>
      <c r="O491" s="3" t="str">
        <f aca="false">IF(AND(B491=4,M491=1),IF(N491&lt;0.8,"Subgrupo 7 dias; fronteira de cluster","Subgrupo 7 dias"),IF(N491&lt;0.8,"Fronteira de cluster",""))</f>
        <v/>
      </c>
    </row>
    <row r="492" customFormat="false" ht="15" hidden="false" customHeight="false" outlineLevel="0" collapsed="false">
      <c r="A492" s="14" t="n">
        <v>491</v>
      </c>
      <c r="B492" s="14" t="n">
        <v>1</v>
      </c>
      <c r="C492" s="14" t="s">
        <v>30</v>
      </c>
      <c r="D492" s="15" t="n">
        <v>6746.46203346203</v>
      </c>
      <c r="E492" s="16" t="n">
        <f aca="false">INDEX(Parâmetros!$C$33:$C$37,MATCH(B492,Parâmetros!$A$33:$A$37,0))</f>
        <v>6959.92435130262</v>
      </c>
      <c r="F492" s="7" t="n">
        <f aca="false">MAX(0,(E492-D492)/D492)</f>
        <v>0.0316406313089481</v>
      </c>
      <c r="G492" s="7" t="n">
        <f aca="false">MIN(K492*Parâmetros!$B$19,Parâmetros!$B$8)</f>
        <v>0.0340557429054508</v>
      </c>
      <c r="H492" s="3" t="str">
        <f aca="false">IF(F492&gt;=Parâmetros!$B$6,"Ação","Acompanhamento")</f>
        <v>Acompanhamento</v>
      </c>
      <c r="I492" s="17" t="n">
        <v>301.066878980892</v>
      </c>
      <c r="J492" s="11" t="n">
        <f aca="false">D492*I492</f>
        <v>2031136.26857749</v>
      </c>
      <c r="K492" s="7" t="n">
        <f aca="false">Parâmetros!$B$4+Parâmetros!$B$5*F492</f>
        <v>0.027910157827237</v>
      </c>
      <c r="L492" s="11" t="n">
        <f aca="false">D492*(1+G492)</f>
        <v>6976.217809995</v>
      </c>
      <c r="M492" s="14" t="n">
        <v>0</v>
      </c>
      <c r="N492" s="4" t="n">
        <v>1</v>
      </c>
      <c r="O492" s="3" t="str">
        <f aca="false">IF(AND(B492=4,M492=1),IF(N492&lt;0.8,"Subgrupo 7 dias; fronteira de cluster","Subgrupo 7 dias"),IF(N492&lt;0.8,"Fronteira de cluster",""))</f>
        <v/>
      </c>
    </row>
    <row r="493" customFormat="false" ht="15" hidden="false" customHeight="false" outlineLevel="0" collapsed="false">
      <c r="A493" s="14" t="n">
        <v>492</v>
      </c>
      <c r="B493" s="14" t="n">
        <v>2</v>
      </c>
      <c r="C493" s="14" t="s">
        <v>31</v>
      </c>
      <c r="D493" s="15" t="n">
        <v>7859.12540716612</v>
      </c>
      <c r="E493" s="16" t="n">
        <f aca="false">INDEX(Parâmetros!$C$33:$C$37,MATCH(B493,Parâmetros!$A$33:$A$37,0))</f>
        <v>6324.80102695764</v>
      </c>
      <c r="F493" s="7" t="n">
        <f aca="false">MAX(0,(E493-D493)/D493)</f>
        <v>0</v>
      </c>
      <c r="G493" s="7" t="n">
        <f aca="false">MIN(K493*Parâmetros!$B$19,Parâmetros!$B$8)</f>
        <v>0.0244038339849275</v>
      </c>
      <c r="H493" s="3" t="str">
        <f aca="false">IF(F493&gt;=Parâmetros!$B$6,"Ação","Acompanhamento")</f>
        <v>Acompanhamento</v>
      </c>
      <c r="I493" s="17" t="n">
        <v>295.65963060686</v>
      </c>
      <c r="J493" s="11" t="n">
        <f aca="false">D493*I493</f>
        <v>2323626.11477573</v>
      </c>
      <c r="K493" s="7" t="n">
        <f aca="false">Parâmetros!$B$4+Parâmetros!$B$5*F493</f>
        <v>0.02</v>
      </c>
      <c r="L493" s="11" t="n">
        <f aca="false">D493*(1+G493)</f>
        <v>8050.91819886933</v>
      </c>
      <c r="M493" s="14" t="n">
        <v>0</v>
      </c>
      <c r="N493" s="4" t="n">
        <v>0.941860465116279</v>
      </c>
      <c r="O493" s="3" t="str">
        <f aca="false">IF(AND(B493=4,M493=1),IF(N493&lt;0.8,"Subgrupo 7 dias; fronteira de cluster","Subgrupo 7 dias"),IF(N493&lt;0.8,"Fronteira de cluster",""))</f>
        <v/>
      </c>
    </row>
    <row r="494" customFormat="false" ht="15" hidden="false" customHeight="false" outlineLevel="0" collapsed="false">
      <c r="A494" s="14" t="n">
        <v>493</v>
      </c>
      <c r="B494" s="14" t="n">
        <v>1</v>
      </c>
      <c r="C494" s="14" t="s">
        <v>30</v>
      </c>
      <c r="D494" s="15" t="n">
        <v>8295.66880616175</v>
      </c>
      <c r="E494" s="16" t="n">
        <f aca="false">INDEX(Parâmetros!$C$33:$C$37,MATCH(B494,Parâmetros!$A$33:$A$37,0))</f>
        <v>6959.92435130262</v>
      </c>
      <c r="F494" s="7" t="n">
        <f aca="false">MAX(0,(E494-D494)/D494)</f>
        <v>0</v>
      </c>
      <c r="G494" s="7" t="n">
        <f aca="false">MIN(K494*Parâmetros!$B$19,Parâmetros!$B$8)</f>
        <v>0.0244038339849275</v>
      </c>
      <c r="H494" s="3" t="str">
        <f aca="false">IF(F494&gt;=Parâmetros!$B$6,"Ação","Acompanhamento")</f>
        <v>Acompanhamento</v>
      </c>
      <c r="I494" s="17" t="n">
        <v>301.841825902336</v>
      </c>
      <c r="J494" s="11" t="n">
        <f aca="false">D494*I494</f>
        <v>2503979.81953291</v>
      </c>
      <c r="K494" s="7" t="n">
        <f aca="false">Parâmetros!$B$4+Parâmetros!$B$5*F494</f>
        <v>0.02</v>
      </c>
      <c r="L494" s="11" t="n">
        <f aca="false">D494*(1+G494)</f>
        <v>8498.11493050126</v>
      </c>
      <c r="M494" s="14" t="n">
        <v>0</v>
      </c>
      <c r="N494" s="4" t="n">
        <v>1</v>
      </c>
      <c r="O494" s="3" t="str">
        <f aca="false">IF(AND(B494=4,M494=1),IF(N494&lt;0.8,"Subgrupo 7 dias; fronteira de cluster","Subgrupo 7 dias"),IF(N494&lt;0.8,"Fronteira de cluster",""))</f>
        <v/>
      </c>
    </row>
    <row r="495" customFormat="false" ht="15" hidden="false" customHeight="false" outlineLevel="0" collapsed="false">
      <c r="A495" s="14" t="n">
        <v>494</v>
      </c>
      <c r="B495" s="14" t="n">
        <v>4</v>
      </c>
      <c r="C495" s="14" t="s">
        <v>33</v>
      </c>
      <c r="D495" s="15" t="n">
        <v>7649.29617834395</v>
      </c>
      <c r="E495" s="16" t="n">
        <f aca="false">INDEX(Parâmetros!$C$33:$C$37,MATCH(B495,Parâmetros!$A$33:$A$37,0))</f>
        <v>8837.10512820513</v>
      </c>
      <c r="F495" s="7" t="n">
        <f aca="false">MAX(0,(E495-D495)/D495)</f>
        <v>0.155283430287875</v>
      </c>
      <c r="G495" s="7" t="n">
        <f aca="false">MIN(K495*Parâmetros!$B$19,Parâmetros!$B$8)</f>
        <v>0.0717727221518693</v>
      </c>
      <c r="H495" s="3" t="str">
        <f aca="false">IF(F495&gt;=Parâmetros!$B$6,"Ação","Acompanhamento")</f>
        <v>Ação</v>
      </c>
      <c r="I495" s="17" t="n">
        <v>365</v>
      </c>
      <c r="J495" s="11" t="n">
        <f aca="false">D495*I495</f>
        <v>2791993.10509554</v>
      </c>
      <c r="K495" s="7" t="n">
        <f aca="false">Parâmetros!$B$4+Parâmetros!$B$5*F495</f>
        <v>0.0588208575719687</v>
      </c>
      <c r="L495" s="11" t="n">
        <f aca="false">D495*(1+G495)</f>
        <v>8198.30698760959</v>
      </c>
      <c r="M495" s="14" t="n">
        <v>1</v>
      </c>
      <c r="N495" s="4" t="n">
        <v>1</v>
      </c>
      <c r="O495" s="3" t="str">
        <f aca="false">IF(AND(B495=4,M495=1),IF(N495&lt;0.8,"Subgrupo 7 dias; fronteira de cluster","Subgrupo 7 dias"),IF(N495&lt;0.8,"Fronteira de cluster",""))</f>
        <v>Subgrupo 7 dias</v>
      </c>
    </row>
    <row r="496" customFormat="false" ht="15" hidden="false" customHeight="false" outlineLevel="0" collapsed="false">
      <c r="A496" s="14" t="n">
        <v>495</v>
      </c>
      <c r="B496" s="14" t="n">
        <v>1</v>
      </c>
      <c r="C496" s="14" t="s">
        <v>30</v>
      </c>
      <c r="D496" s="15" t="n">
        <v>5154.71814671815</v>
      </c>
      <c r="E496" s="16" t="n">
        <f aca="false">INDEX(Parâmetros!$C$33:$C$37,MATCH(B496,Parâmetros!$A$33:$A$37,0))</f>
        <v>6959.92435130262</v>
      </c>
      <c r="F496" s="7" t="n">
        <f aca="false">MAX(0,(E496-D496)/D496)</f>
        <v>0.350204638392071</v>
      </c>
      <c r="G496" s="7" t="n">
        <f aca="false">MIN(K496*Parâmetros!$B$19,Parâmetros!$B$8)</f>
        <v>0.131233032185823</v>
      </c>
      <c r="H496" s="3" t="str">
        <f aca="false">IF(F496&gt;=Parâmetros!$B$6,"Ação","Acompanhamento")</f>
        <v>Ação</v>
      </c>
      <c r="I496" s="17" t="n">
        <v>301.066878980892</v>
      </c>
      <c r="J496" s="11" t="n">
        <f aca="false">D496*I496</f>
        <v>1551914.9044586</v>
      </c>
      <c r="K496" s="7" t="n">
        <f aca="false">Parâmetros!$B$4+Parâmetros!$B$5*F496</f>
        <v>0.107551159598018</v>
      </c>
      <c r="L496" s="11" t="n">
        <f aca="false">D496*(1+G496)</f>
        <v>5831.18743917526</v>
      </c>
      <c r="M496" s="14" t="n">
        <v>0</v>
      </c>
      <c r="N496" s="4" t="n">
        <v>1</v>
      </c>
      <c r="O496" s="3" t="str">
        <f aca="false">IF(AND(B496=4,M496=1),IF(N496&lt;0.8,"Subgrupo 7 dias; fronteira de cluster","Subgrupo 7 dias"),IF(N496&lt;0.8,"Fronteira de cluster",""))</f>
        <v/>
      </c>
    </row>
    <row r="497" customFormat="false" ht="15" hidden="false" customHeight="false" outlineLevel="0" collapsed="false">
      <c r="A497" s="14" t="n">
        <v>496</v>
      </c>
      <c r="B497" s="14" t="n">
        <v>1</v>
      </c>
      <c r="C497" s="14" t="s">
        <v>30</v>
      </c>
      <c r="D497" s="15" t="n">
        <v>7728.90051020408</v>
      </c>
      <c r="E497" s="16" t="n">
        <f aca="false">INDEX(Parâmetros!$C$33:$C$37,MATCH(B497,Parâmetros!$A$33:$A$37,0))</f>
        <v>6959.92435130262</v>
      </c>
      <c r="F497" s="7" t="n">
        <f aca="false">MAX(0,(E497-D497)/D497)</f>
        <v>0</v>
      </c>
      <c r="G497" s="7" t="n">
        <f aca="false">MIN(K497*Parâmetros!$B$19,Parâmetros!$B$8)</f>
        <v>0.0244038339849275</v>
      </c>
      <c r="H497" s="3" t="str">
        <f aca="false">IF(F497&gt;=Parâmetros!$B$6,"Ação","Acompanhamento")</f>
        <v>Acompanhamento</v>
      </c>
      <c r="I497" s="17" t="n">
        <v>303.779193205945</v>
      </c>
      <c r="J497" s="11" t="n">
        <f aca="false">D497*I497</f>
        <v>2347879.16135881</v>
      </c>
      <c r="K497" s="7" t="n">
        <f aca="false">Parâmetros!$B$4+Parâmetros!$B$5*F497</f>
        <v>0.02</v>
      </c>
      <c r="L497" s="11" t="n">
        <f aca="false">D497*(1+G497)</f>
        <v>7917.51531514112</v>
      </c>
      <c r="M497" s="14" t="n">
        <v>0</v>
      </c>
      <c r="N497" s="4" t="n">
        <v>0.976190476190476</v>
      </c>
      <c r="O497" s="3" t="str">
        <f aca="false">IF(AND(B497=4,M497=1),IF(N497&lt;0.8,"Subgrupo 7 dias; fronteira de cluster","Subgrupo 7 dias"),IF(N497&lt;0.8,"Fronteira de cluster",""))</f>
        <v/>
      </c>
    </row>
    <row r="498" customFormat="false" ht="15" hidden="false" customHeight="false" outlineLevel="0" collapsed="false">
      <c r="A498" s="14" t="n">
        <v>497</v>
      </c>
      <c r="B498" s="14" t="n">
        <v>4</v>
      </c>
      <c r="C498" s="14" t="s">
        <v>33</v>
      </c>
      <c r="D498" s="15" t="n">
        <v>9062.12291933419</v>
      </c>
      <c r="E498" s="16" t="n">
        <f aca="false">INDEX(Parâmetros!$C$33:$C$37,MATCH(B498,Parâmetros!$A$33:$A$37,0))</f>
        <v>8837.10512820513</v>
      </c>
      <c r="F498" s="7" t="n">
        <f aca="false">MAX(0,(E498-D498)/D498)</f>
        <v>0</v>
      </c>
      <c r="G498" s="7" t="n">
        <f aca="false">MIN(K498*Parâmetros!$B$19,Parâmetros!$B$8)</f>
        <v>0.0244038339849275</v>
      </c>
      <c r="H498" s="3" t="str">
        <f aca="false">IF(F498&gt;=Parâmetros!$B$6,"Ação","Acompanhamento")</f>
        <v>Acompanhamento</v>
      </c>
      <c r="I498" s="17" t="n">
        <v>302.616772823779</v>
      </c>
      <c r="J498" s="11" t="n">
        <f aca="false">D498*I498</f>
        <v>2742350.39278132</v>
      </c>
      <c r="K498" s="7" t="n">
        <f aca="false">Parâmetros!$B$4+Parâmetros!$B$5*F498</f>
        <v>0.02</v>
      </c>
      <c r="L498" s="11" t="n">
        <f aca="false">D498*(1+G498)</f>
        <v>9283.27346260863</v>
      </c>
      <c r="M498" s="14" t="n">
        <v>0</v>
      </c>
      <c r="N498" s="4" t="n">
        <v>1</v>
      </c>
      <c r="O498" s="3" t="str">
        <f aca="false">IF(AND(B498=4,M498=1),IF(N498&lt;0.8,"Subgrupo 7 dias; fronteira de cluster","Subgrupo 7 dias"),IF(N498&lt;0.8,"Fronteira de cluster",""))</f>
        <v/>
      </c>
    </row>
    <row r="499" customFormat="false" ht="15" hidden="false" customHeight="false" outlineLevel="0" collapsed="false">
      <c r="A499" s="14" t="n">
        <v>498</v>
      </c>
      <c r="B499" s="14" t="n">
        <v>4</v>
      </c>
      <c r="C499" s="14" t="s">
        <v>33</v>
      </c>
      <c r="D499" s="15" t="n">
        <v>6996.53376205788</v>
      </c>
      <c r="E499" s="16" t="n">
        <f aca="false">INDEX(Parâmetros!$C$33:$C$37,MATCH(B499,Parâmetros!$A$33:$A$37,0))</f>
        <v>8837.10512820513</v>
      </c>
      <c r="F499" s="7" t="n">
        <f aca="false">MAX(0,(E499-D499)/D499)</f>
        <v>0.263069032286909</v>
      </c>
      <c r="G499" s="7" t="n">
        <f aca="false">MIN(K499*Parâmetros!$B$19,Parâmetros!$B$8)</f>
        <v>0.104652496366243</v>
      </c>
      <c r="H499" s="3" t="str">
        <f aca="false">IF(F499&gt;=Parâmetros!$B$6,"Ação","Acompanhamento")</f>
        <v>Ação</v>
      </c>
      <c r="I499" s="17" t="n">
        <v>299.511873350924</v>
      </c>
      <c r="J499" s="11" t="n">
        <f aca="false">D499*I499</f>
        <v>2095544.93403694</v>
      </c>
      <c r="K499" s="7" t="n">
        <f aca="false">Parâmetros!$B$4+Parâmetros!$B$5*F499</f>
        <v>0.0857672580717272</v>
      </c>
      <c r="L499" s="11" t="n">
        <f aca="false">D499*(1+G499)</f>
        <v>7728.73848616794</v>
      </c>
      <c r="M499" s="14" t="n">
        <v>0</v>
      </c>
      <c r="N499" s="4" t="n">
        <v>1</v>
      </c>
      <c r="O499" s="3" t="str">
        <f aca="false">IF(AND(B499=4,M499=1),IF(N499&lt;0.8,"Subgrupo 7 dias; fronteira de cluster","Subgrupo 7 dias"),IF(N499&lt;0.8,"Fronteira de cluster",""))</f>
        <v/>
      </c>
    </row>
    <row r="500" customFormat="false" ht="15" hidden="false" customHeight="false" outlineLevel="0" collapsed="false">
      <c r="A500" s="14" t="n">
        <v>499</v>
      </c>
      <c r="B500" s="14" t="n">
        <v>0</v>
      </c>
      <c r="C500" s="14" t="s">
        <v>29</v>
      </c>
      <c r="D500" s="15" t="n">
        <v>5155.98841698842</v>
      </c>
      <c r="E500" s="16" t="n">
        <f aca="false">INDEX(Parâmetros!$C$33:$C$37,MATCH(B500,Parâmetros!$A$33:$A$37,0))</f>
        <v>5476.37033462034</v>
      </c>
      <c r="F500" s="7" t="n">
        <f aca="false">MAX(0,(E500-D500)/D500)</f>
        <v>0.0621378272643698</v>
      </c>
      <c r="G500" s="7" t="n">
        <f aca="false">MIN(K500*Parâmetros!$B$19,Parâmetros!$B$8)</f>
        <v>0.0433588492442247</v>
      </c>
      <c r="H500" s="3" t="str">
        <f aca="false">IF(F500&gt;=Parâmetros!$B$6,"Ação","Acompanhamento")</f>
        <v>Acompanhamento</v>
      </c>
      <c r="I500" s="17" t="n">
        <v>301.066878980892</v>
      </c>
      <c r="J500" s="11" t="n">
        <f aca="false">D500*I500</f>
        <v>1552297.34076433</v>
      </c>
      <c r="K500" s="7" t="n">
        <f aca="false">Parâmetros!$B$4+Parâmetros!$B$5*F500</f>
        <v>0.0355344568160924</v>
      </c>
      <c r="L500" s="11" t="n">
        <f aca="false">D500*(1+G500)</f>
        <v>5379.54614146559</v>
      </c>
      <c r="M500" s="14" t="n">
        <v>0</v>
      </c>
      <c r="N500" s="4" t="n">
        <v>0.74390243902439</v>
      </c>
      <c r="O500" s="3" t="str">
        <f aca="false">IF(AND(B500=4,M500=1),IF(N500&lt;0.8,"Subgrupo 7 dias; fronteira de cluster","Subgrupo 7 dias"),IF(N500&lt;0.8,"Fronteira de cluster",""))</f>
        <v>Fronteira de cluster</v>
      </c>
    </row>
    <row r="501" customFormat="false" ht="15" hidden="false" customHeight="false" outlineLevel="0" collapsed="false">
      <c r="A501" s="14" t="n">
        <v>500</v>
      </c>
      <c r="B501" s="14" t="n">
        <v>1</v>
      </c>
      <c r="C501" s="14" t="s">
        <v>30</v>
      </c>
      <c r="D501" s="15" t="n">
        <v>5354.03697749196</v>
      </c>
      <c r="E501" s="16" t="n">
        <f aca="false">INDEX(Parâmetros!$C$33:$C$37,MATCH(B501,Parâmetros!$A$33:$A$37,0))</f>
        <v>6959.92435130262</v>
      </c>
      <c r="F501" s="7" t="n">
        <f aca="false">MAX(0,(E501-D501)/D501)</f>
        <v>0.299939537317675</v>
      </c>
      <c r="G501" s="7" t="n">
        <f aca="false">MIN(K501*Parâmetros!$B$19,Parâmetros!$B$8)</f>
        <v>0.115899767412633</v>
      </c>
      <c r="H501" s="3" t="str">
        <f aca="false">IF(F501&gt;=Parâmetros!$B$6,"Ação","Acompanhamento")</f>
        <v>Ação</v>
      </c>
      <c r="I501" s="17" t="n">
        <v>299.511873350924</v>
      </c>
      <c r="J501" s="11" t="n">
        <f aca="false">D501*I501</f>
        <v>1603597.64511873</v>
      </c>
      <c r="K501" s="7" t="n">
        <f aca="false">Parâmetros!$B$4+Parâmetros!$B$5*F501</f>
        <v>0.0949848843294186</v>
      </c>
      <c r="L501" s="11" t="n">
        <f aca="false">D501*(1+G501)</f>
        <v>5974.56861790192</v>
      </c>
      <c r="M501" s="14" t="n">
        <v>0</v>
      </c>
      <c r="N501" s="4" t="n">
        <v>1</v>
      </c>
      <c r="O501" s="3" t="str">
        <f aca="false">IF(AND(B501=4,M501=1),IF(N501&lt;0.8,"Subgrupo 7 dias; fronteira de cluster","Subgrupo 7 dias"),IF(N501&lt;0.8,"Fronteira de cluster",""))</f>
        <v/>
      </c>
    </row>
    <row r="502" customFormat="false" ht="15" hidden="false" customHeight="false" outlineLevel="0" collapsed="false">
      <c r="A502" s="14" t="n">
        <v>501</v>
      </c>
      <c r="B502" s="14" t="n">
        <v>0</v>
      </c>
      <c r="C502" s="14" t="s">
        <v>29</v>
      </c>
      <c r="D502" s="15" t="n">
        <v>5378.18006430868</v>
      </c>
      <c r="E502" s="16" t="n">
        <f aca="false">INDEX(Parâmetros!$C$33:$C$37,MATCH(B502,Parâmetros!$A$33:$A$37,0))</f>
        <v>5476.37033462034</v>
      </c>
      <c r="F502" s="7" t="n">
        <f aca="false">MAX(0,(E502-D502)/D502)</f>
        <v>0.0182571556060897</v>
      </c>
      <c r="G502" s="7" t="n">
        <f aca="false">MIN(K502*Parâmetros!$B$19,Parâmetros!$B$8)</f>
        <v>0.0299731414155274</v>
      </c>
      <c r="H502" s="3" t="str">
        <f aca="false">IF(F502&gt;=Parâmetros!$B$6,"Ação","Acompanhamento")</f>
        <v>Acompanhamento</v>
      </c>
      <c r="I502" s="17" t="n">
        <v>299.511873350924</v>
      </c>
      <c r="J502" s="11" t="n">
        <f aca="false">D502*I502</f>
        <v>1610828.78627968</v>
      </c>
      <c r="K502" s="7" t="n">
        <f aca="false">Parâmetros!$B$4+Parâmetros!$B$5*F502</f>
        <v>0.0245642889015224</v>
      </c>
      <c r="L502" s="11" t="n">
        <f aca="false">D502*(1+G502)</f>
        <v>5539.38101593438</v>
      </c>
      <c r="M502" s="14" t="n">
        <v>0</v>
      </c>
      <c r="N502" s="4" t="n">
        <v>0.475</v>
      </c>
      <c r="O502" s="3" t="str">
        <f aca="false">IF(AND(B502=4,M502=1),IF(N502&lt;0.8,"Subgrupo 7 dias; fronteira de cluster","Subgrupo 7 dias"),IF(N502&lt;0.8,"Fronteira de cluster",""))</f>
        <v>Fronteira de cluster</v>
      </c>
    </row>
    <row r="503" customFormat="false" ht="15" hidden="false" customHeight="false" outlineLevel="0" collapsed="false">
      <c r="A503" s="14" t="n">
        <v>502</v>
      </c>
      <c r="B503" s="14" t="n">
        <v>4</v>
      </c>
      <c r="C503" s="14" t="s">
        <v>33</v>
      </c>
      <c r="D503" s="15" t="n">
        <v>10823.5245478036</v>
      </c>
      <c r="E503" s="16" t="n">
        <f aca="false">INDEX(Parâmetros!$C$33:$C$37,MATCH(B503,Parâmetros!$A$33:$A$37,0))</f>
        <v>8837.10512820513</v>
      </c>
      <c r="F503" s="7" t="n">
        <f aca="false">MAX(0,(E503-D503)/D503)</f>
        <v>0</v>
      </c>
      <c r="G503" s="7" t="n">
        <f aca="false">MIN(K503*Parâmetros!$B$19,Parâmetros!$B$8)</f>
        <v>0.0244038339849275</v>
      </c>
      <c r="H503" s="3" t="str">
        <f aca="false">IF(F503&gt;=Parâmetros!$B$6,"Ação","Acompanhamento")</f>
        <v>Acompanhamento</v>
      </c>
      <c r="I503" s="17" t="n">
        <v>299.904458598726</v>
      </c>
      <c r="J503" s="11" t="n">
        <f aca="false">D503*I503</f>
        <v>3246023.26963907</v>
      </c>
      <c r="K503" s="7" t="n">
        <f aca="false">Parâmetros!$B$4+Parâmetros!$B$5*F503</f>
        <v>0.02</v>
      </c>
      <c r="L503" s="11" t="n">
        <f aca="false">D503*(1+G503)</f>
        <v>11087.660044</v>
      </c>
      <c r="M503" s="14" t="n">
        <v>0</v>
      </c>
      <c r="N503" s="4" t="n">
        <v>0.98780487804878</v>
      </c>
      <c r="O503" s="3" t="str">
        <f aca="false">IF(AND(B503=4,M503=1),IF(N503&lt;0.8,"Subgrupo 7 dias; fronteira de cluster","Subgrupo 7 dias"),IF(N503&lt;0.8,"Fronteira de cluster",""))</f>
        <v/>
      </c>
    </row>
    <row r="504" customFormat="false" ht="15" hidden="false" customHeight="false" outlineLevel="0" collapsed="false">
      <c r="A504" s="14" t="n">
        <v>503</v>
      </c>
      <c r="B504" s="14" t="n">
        <v>1</v>
      </c>
      <c r="C504" s="14" t="s">
        <v>30</v>
      </c>
      <c r="D504" s="15" t="n">
        <v>6698.19871794872</v>
      </c>
      <c r="E504" s="16" t="n">
        <f aca="false">INDEX(Parâmetros!$C$33:$C$37,MATCH(B504,Parâmetros!$A$33:$A$37,0))</f>
        <v>6959.92435130262</v>
      </c>
      <c r="F504" s="7" t="n">
        <f aca="false">MAX(0,(E504-D504)/D504)</f>
        <v>0.0390740323443338</v>
      </c>
      <c r="G504" s="7" t="n">
        <f aca="false">MIN(K504*Parâmetros!$B$19,Parâmetros!$B$8)</f>
        <v>0.0363232864655876</v>
      </c>
      <c r="H504" s="3" t="str">
        <f aca="false">IF(F504&gt;=Parâmetros!$B$6,"Ação","Acompanhamento")</f>
        <v>Acompanhamento</v>
      </c>
      <c r="I504" s="17" t="n">
        <v>302.229299363057</v>
      </c>
      <c r="J504" s="11" t="n">
        <f aca="false">D504*I504</f>
        <v>2024391.90552017</v>
      </c>
      <c r="K504" s="7" t="n">
        <f aca="false">Parâmetros!$B$4+Parâmetros!$B$5*F504</f>
        <v>0.0297685080860835</v>
      </c>
      <c r="L504" s="11" t="n">
        <f aca="false">D504*(1+G504)</f>
        <v>6941.4993087842</v>
      </c>
      <c r="M504" s="14" t="n">
        <v>0</v>
      </c>
      <c r="N504" s="4" t="n">
        <v>1</v>
      </c>
      <c r="O504" s="3" t="str">
        <f aca="false">IF(AND(B504=4,M504=1),IF(N504&lt;0.8,"Subgrupo 7 dias; fronteira de cluster","Subgrupo 7 dias"),IF(N504&lt;0.8,"Fronteira de cluster",""))</f>
        <v/>
      </c>
    </row>
    <row r="505" customFormat="false" ht="15" hidden="false" customHeight="false" outlineLevel="0" collapsed="false">
      <c r="A505" s="14" t="n">
        <v>504</v>
      </c>
      <c r="B505" s="14" t="n">
        <v>4</v>
      </c>
      <c r="C505" s="14" t="s">
        <v>33</v>
      </c>
      <c r="D505" s="15" t="n">
        <v>6673.15816326531</v>
      </c>
      <c r="E505" s="16" t="n">
        <f aca="false">INDEX(Parâmetros!$C$33:$C$37,MATCH(B505,Parâmetros!$A$33:$A$37,0))</f>
        <v>8837.10512820513</v>
      </c>
      <c r="F505" s="7" t="n">
        <f aca="false">MAX(0,(E505-D505)/D505)</f>
        <v>0.324276288976936</v>
      </c>
      <c r="G505" s="7" t="n">
        <f aca="false">MIN(K505*Parâmetros!$B$19,Parâmetros!$B$8)</f>
        <v>0.123323643002946</v>
      </c>
      <c r="H505" s="3" t="str">
        <f aca="false">IF(F505&gt;=Parâmetros!$B$6,"Ação","Acompanhamento")</f>
        <v>Ação</v>
      </c>
      <c r="I505" s="17" t="n">
        <v>303.779193205945</v>
      </c>
      <c r="J505" s="11" t="n">
        <f aca="false">D505*I505</f>
        <v>2027166.6029724</v>
      </c>
      <c r="K505" s="7" t="n">
        <f aca="false">Parâmetros!$B$4+Parâmetros!$B$5*F505</f>
        <v>0.101069072244234</v>
      </c>
      <c r="L505" s="11" t="n">
        <f aca="false">D505*(1+G505)</f>
        <v>7496.11633829403</v>
      </c>
      <c r="M505" s="14" t="n">
        <v>0</v>
      </c>
      <c r="N505" s="4" t="n">
        <v>1</v>
      </c>
      <c r="O505" s="3" t="str">
        <f aca="false">IF(AND(B505=4,M505=1),IF(N505&lt;0.8,"Subgrupo 7 dias; fronteira de cluster","Subgrupo 7 dias"),IF(N505&lt;0.8,"Fronteira de cluster",""))</f>
        <v/>
      </c>
    </row>
    <row r="506" customFormat="false" ht="15" hidden="false" customHeight="false" outlineLevel="0" collapsed="false">
      <c r="A506" s="14" t="n">
        <v>505</v>
      </c>
      <c r="B506" s="14" t="n">
        <v>0</v>
      </c>
      <c r="C506" s="14" t="s">
        <v>29</v>
      </c>
      <c r="D506" s="15" t="n">
        <v>4776.28056628057</v>
      </c>
      <c r="E506" s="16" t="n">
        <f aca="false">INDEX(Parâmetros!$C$33:$C$37,MATCH(B506,Parâmetros!$A$33:$A$37,0))</f>
        <v>5476.37033462034</v>
      </c>
      <c r="F506" s="7" t="n">
        <f aca="false">MAX(0,(E506-D506)/D506)</f>
        <v>0.146576349237572</v>
      </c>
      <c r="G506" s="7" t="n">
        <f aca="false">MIN(K506*Parâmetros!$B$19,Parâmetros!$B$8)</f>
        <v>0.0691166451463082</v>
      </c>
      <c r="H506" s="3" t="str">
        <f aca="false">IF(F506&gt;=Parâmetros!$B$6,"Ação","Acompanhamento")</f>
        <v>Ação</v>
      </c>
      <c r="I506" s="17" t="n">
        <v>301.066878980892</v>
      </c>
      <c r="J506" s="11" t="n">
        <f aca="false">D506*I506</f>
        <v>1437979.88322718</v>
      </c>
      <c r="K506" s="7" t="n">
        <f aca="false">Parâmetros!$B$4+Parâmetros!$B$5*F506</f>
        <v>0.056644087309393</v>
      </c>
      <c r="L506" s="11" t="n">
        <f aca="false">D506*(1+G506)</f>
        <v>5106.40105529939</v>
      </c>
      <c r="M506" s="14" t="n">
        <v>0</v>
      </c>
      <c r="N506" s="4" t="n">
        <v>1</v>
      </c>
      <c r="O506" s="3" t="str">
        <f aca="false">IF(AND(B506=4,M506=1),IF(N506&lt;0.8,"Subgrupo 7 dias; fronteira de cluster","Subgrupo 7 dias"),IF(N506&lt;0.8,"Fronteira de cluster",""))</f>
        <v/>
      </c>
    </row>
    <row r="507" customFormat="false" ht="15" hidden="false" customHeight="false" outlineLevel="0" collapsed="false">
      <c r="A507" s="14" t="n">
        <v>506</v>
      </c>
      <c r="B507" s="14" t="n">
        <v>0</v>
      </c>
      <c r="C507" s="14" t="s">
        <v>29</v>
      </c>
      <c r="D507" s="15" t="n">
        <v>7581.34403080873</v>
      </c>
      <c r="E507" s="16" t="n">
        <f aca="false">INDEX(Parâmetros!$C$33:$C$37,MATCH(B507,Parâmetros!$A$33:$A$37,0))</f>
        <v>5476.37033462034</v>
      </c>
      <c r="F507" s="7" t="n">
        <f aca="false">MAX(0,(E507-D507)/D507)</f>
        <v>0</v>
      </c>
      <c r="G507" s="7" t="n">
        <f aca="false">MIN(K507*Parâmetros!$B$19,Parâmetros!$B$8)</f>
        <v>0.0244038339849275</v>
      </c>
      <c r="H507" s="3" t="str">
        <f aca="false">IF(F507&gt;=Parâmetros!$B$6,"Ação","Acompanhamento")</f>
        <v>Acompanhamento</v>
      </c>
      <c r="I507" s="17" t="n">
        <v>301.841825902336</v>
      </c>
      <c r="J507" s="11" t="n">
        <f aca="false">D507*I507</f>
        <v>2288366.72505308</v>
      </c>
      <c r="K507" s="7" t="n">
        <f aca="false">Parâmetros!$B$4+Parâmetros!$B$5*F507</f>
        <v>0.02</v>
      </c>
      <c r="L507" s="11" t="n">
        <f aca="false">D507*(1+G507)</f>
        <v>7766.35789191921</v>
      </c>
      <c r="M507" s="14" t="n">
        <v>0</v>
      </c>
      <c r="N507" s="4" t="n">
        <v>1</v>
      </c>
      <c r="O507" s="3" t="str">
        <f aca="false">IF(AND(B507=4,M507=1),IF(N507&lt;0.8,"Subgrupo 7 dias; fronteira de cluster","Subgrupo 7 dias"),IF(N507&lt;0.8,"Fronteira de cluster",""))</f>
        <v/>
      </c>
    </row>
    <row r="508" customFormat="false" ht="15" hidden="false" customHeight="false" outlineLevel="0" collapsed="false">
      <c r="A508" s="14" t="n">
        <v>507</v>
      </c>
      <c r="B508" s="14" t="n">
        <v>1</v>
      </c>
      <c r="C508" s="14" t="s">
        <v>30</v>
      </c>
      <c r="D508" s="15" t="n">
        <v>8455.7702182285</v>
      </c>
      <c r="E508" s="16" t="n">
        <f aca="false">INDEX(Parâmetros!$C$33:$C$37,MATCH(B508,Parâmetros!$A$33:$A$37,0))</f>
        <v>6959.92435130262</v>
      </c>
      <c r="F508" s="7" t="n">
        <f aca="false">MAX(0,(E508-D508)/D508)</f>
        <v>0</v>
      </c>
      <c r="G508" s="7" t="n">
        <f aca="false">MIN(K508*Parâmetros!$B$19,Parâmetros!$B$8)</f>
        <v>0.0244038339849275</v>
      </c>
      <c r="H508" s="3" t="str">
        <f aca="false">IF(F508&gt;=Parâmetros!$B$6,"Ação","Acompanhamento")</f>
        <v>Acompanhamento</v>
      </c>
      <c r="I508" s="17" t="n">
        <v>301.841825902336</v>
      </c>
      <c r="J508" s="11" t="n">
        <f aca="false">D508*I508</f>
        <v>2552305.12208068</v>
      </c>
      <c r="K508" s="7" t="n">
        <f aca="false">Parâmetros!$B$4+Parâmetros!$B$5*F508</f>
        <v>0.02</v>
      </c>
      <c r="L508" s="11" t="n">
        <f aca="false">D508*(1+G508)</f>
        <v>8662.12343084884</v>
      </c>
      <c r="M508" s="14" t="n">
        <v>0</v>
      </c>
      <c r="N508" s="4" t="n">
        <v>1</v>
      </c>
      <c r="O508" s="3" t="str">
        <f aca="false">IF(AND(B508=4,M508=1),IF(N508&lt;0.8,"Subgrupo 7 dias; fronteira de cluster","Subgrupo 7 dias"),IF(N508&lt;0.8,"Fronteira de cluster",""))</f>
        <v/>
      </c>
    </row>
    <row r="509" customFormat="false" ht="15" hidden="false" customHeight="false" outlineLevel="0" collapsed="false">
      <c r="A509" s="14" t="n">
        <v>508</v>
      </c>
      <c r="B509" s="14" t="n">
        <v>0</v>
      </c>
      <c r="C509" s="14" t="s">
        <v>29</v>
      </c>
      <c r="D509" s="15" t="n">
        <v>6767.69974226804</v>
      </c>
      <c r="E509" s="16" t="n">
        <f aca="false">INDEX(Parâmetros!$C$33:$C$37,MATCH(B509,Parâmetros!$A$33:$A$37,0))</f>
        <v>5476.37033462034</v>
      </c>
      <c r="F509" s="7" t="n">
        <f aca="false">MAX(0,(E509-D509)/D509)</f>
        <v>0</v>
      </c>
      <c r="G509" s="7" t="n">
        <f aca="false">MIN(K509*Parâmetros!$B$19,Parâmetros!$B$8)</f>
        <v>0.0244038339849275</v>
      </c>
      <c r="H509" s="3" t="str">
        <f aca="false">IF(F509&gt;=Parâmetros!$B$6,"Ação","Acompanhamento")</f>
        <v>Acompanhamento</v>
      </c>
      <c r="I509" s="17" t="n">
        <v>300.67940552017</v>
      </c>
      <c r="J509" s="11" t="n">
        <f aca="false">D509*I509</f>
        <v>2034907.93524416</v>
      </c>
      <c r="K509" s="7" t="n">
        <f aca="false">Parâmetros!$B$4+Parâmetros!$B$5*F509</f>
        <v>0.02</v>
      </c>
      <c r="L509" s="11" t="n">
        <f aca="false">D509*(1+G509)</f>
        <v>6932.85756323819</v>
      </c>
      <c r="M509" s="14" t="n">
        <v>0</v>
      </c>
      <c r="N509" s="4" t="n">
        <v>0.719512195121951</v>
      </c>
      <c r="O509" s="3" t="str">
        <f aca="false">IF(AND(B509=4,M509=1),IF(N509&lt;0.8,"Subgrupo 7 dias; fronteira de cluster","Subgrupo 7 dias"),IF(N509&lt;0.8,"Fronteira de cluster",""))</f>
        <v>Fronteira de cluster</v>
      </c>
    </row>
    <row r="510" customFormat="false" ht="15" hidden="false" customHeight="false" outlineLevel="0" collapsed="false">
      <c r="A510" s="14" t="n">
        <v>509</v>
      </c>
      <c r="B510" s="14" t="n">
        <v>3</v>
      </c>
      <c r="C510" s="14" t="s">
        <v>32</v>
      </c>
      <c r="D510" s="15" t="n">
        <v>6125.06274007682</v>
      </c>
      <c r="E510" s="16" t="n">
        <f aca="false">INDEX(Parâmetros!$C$33:$C$37,MATCH(B510,Parâmetros!$A$33:$A$37,0))</f>
        <v>5909.24487179487</v>
      </c>
      <c r="F510" s="7" t="n">
        <f aca="false">MAX(0,(E510-D510)/D510)</f>
        <v>0</v>
      </c>
      <c r="G510" s="7" t="n">
        <f aca="false">MIN(K510*Parâmetros!$B$19,Parâmetros!$B$8)</f>
        <v>0.0244038339849275</v>
      </c>
      <c r="H510" s="3" t="str">
        <f aca="false">IF(F510&gt;=Parâmetros!$B$6,"Ação","Acompanhamento")</f>
        <v>Acompanhamento</v>
      </c>
      <c r="I510" s="17" t="n">
        <v>302.616772823779</v>
      </c>
      <c r="J510" s="11" t="n">
        <f aca="false">D510*I510</f>
        <v>1853546.71974522</v>
      </c>
      <c r="K510" s="7" t="n">
        <f aca="false">Parâmetros!$B$4+Parâmetros!$B$5*F510</f>
        <v>0.02</v>
      </c>
      <c r="L510" s="11" t="n">
        <f aca="false">D510*(1+G510)</f>
        <v>6274.53775433292</v>
      </c>
      <c r="M510" s="14" t="n">
        <v>0</v>
      </c>
      <c r="N510" s="4" t="n">
        <v>0.890243902439024</v>
      </c>
      <c r="O510" s="3" t="str">
        <f aca="false">IF(AND(B510=4,M510=1),IF(N510&lt;0.8,"Subgrupo 7 dias; fronteira de cluster","Subgrupo 7 dias"),IF(N510&lt;0.8,"Fronteira de cluster",""))</f>
        <v/>
      </c>
    </row>
    <row r="511" customFormat="false" ht="15" hidden="false" customHeight="false" outlineLevel="0" collapsed="false">
      <c r="A511" s="14" t="n">
        <v>510</v>
      </c>
      <c r="B511" s="14" t="n">
        <v>1</v>
      </c>
      <c r="C511" s="14" t="s">
        <v>30</v>
      </c>
      <c r="D511" s="15" t="n">
        <v>8196.73940949936</v>
      </c>
      <c r="E511" s="16" t="n">
        <f aca="false">INDEX(Parâmetros!$C$33:$C$37,MATCH(B511,Parâmetros!$A$33:$A$37,0))</f>
        <v>6959.92435130262</v>
      </c>
      <c r="F511" s="7" t="n">
        <f aca="false">MAX(0,(E511-D511)/D511)</f>
        <v>0</v>
      </c>
      <c r="G511" s="7" t="n">
        <f aca="false">MIN(K511*Parâmetros!$B$19,Parâmetros!$B$8)</f>
        <v>0.0244038339849275</v>
      </c>
      <c r="H511" s="3" t="str">
        <f aca="false">IF(F511&gt;=Parâmetros!$B$6,"Ação","Acompanhamento")</f>
        <v>Acompanhamento</v>
      </c>
      <c r="I511" s="17" t="n">
        <v>301.841825902336</v>
      </c>
      <c r="J511" s="11" t="n">
        <f aca="false">D511*I511</f>
        <v>2474118.78980892</v>
      </c>
      <c r="K511" s="7" t="n">
        <f aca="false">Parâmetros!$B$4+Parâmetros!$B$5*F511</f>
        <v>0.02</v>
      </c>
      <c r="L511" s="11" t="n">
        <f aca="false">D511*(1+G511)</f>
        <v>8396.77127726649</v>
      </c>
      <c r="M511" s="14" t="n">
        <v>0</v>
      </c>
      <c r="N511" s="4" t="n">
        <v>1</v>
      </c>
      <c r="O511" s="3" t="str">
        <f aca="false">IF(AND(B511=4,M511=1),IF(N511&lt;0.8,"Subgrupo 7 dias; fronteira de cluster","Subgrupo 7 dias"),IF(N511&lt;0.8,"Fronteira de cluster",""))</f>
        <v/>
      </c>
    </row>
    <row r="512" customFormat="false" ht="15" hidden="false" customHeight="false" outlineLevel="0" collapsed="false">
      <c r="A512" s="14" t="n">
        <v>511</v>
      </c>
      <c r="B512" s="14" t="n">
        <v>4</v>
      </c>
      <c r="C512" s="14" t="s">
        <v>33</v>
      </c>
      <c r="D512" s="15" t="n">
        <v>5662.32015306122</v>
      </c>
      <c r="E512" s="16" t="n">
        <f aca="false">INDEX(Parâmetros!$C$33:$C$37,MATCH(B512,Parâmetros!$A$33:$A$37,0))</f>
        <v>8837.10512820513</v>
      </c>
      <c r="F512" s="7" t="n">
        <f aca="false">MAX(0,(E512-D512)/D512)</f>
        <v>0.56068623626439</v>
      </c>
      <c r="G512" s="7" t="n">
        <f aca="false">MIN(K512*Parâmetros!$B$19,Parâmetros!$B$8)</f>
        <v>0.195440006827802</v>
      </c>
      <c r="H512" s="3" t="str">
        <f aca="false">IF(F512&gt;=Parâmetros!$B$6,"Ação","Acompanhamento")</f>
        <v>Ação</v>
      </c>
      <c r="I512" s="17" t="n">
        <v>303.779193205945</v>
      </c>
      <c r="J512" s="11" t="n">
        <f aca="false">D512*I512</f>
        <v>1720095.0477707</v>
      </c>
      <c r="K512" s="7" t="n">
        <f aca="false">Parâmetros!$B$4+Parâmetros!$B$5*F512</f>
        <v>0.160171559066098</v>
      </c>
      <c r="L512" s="11" t="n">
        <f aca="false">D512*(1+G512)</f>
        <v>6768.96404243671</v>
      </c>
      <c r="M512" s="14" t="n">
        <v>0</v>
      </c>
      <c r="N512" s="4" t="n">
        <v>1</v>
      </c>
      <c r="O512" s="3" t="str">
        <f aca="false">IF(AND(B512=4,M512=1),IF(N512&lt;0.8,"Subgrupo 7 dias; fronteira de cluster","Subgrupo 7 dias"),IF(N512&lt;0.8,"Fronteira de cluster",""))</f>
        <v/>
      </c>
    </row>
    <row r="513" customFormat="false" ht="15" hidden="false" customHeight="false" outlineLevel="0" collapsed="false">
      <c r="A513" s="14" t="n">
        <v>512</v>
      </c>
      <c r="B513" s="14" t="n">
        <v>4</v>
      </c>
      <c r="C513" s="14" t="s">
        <v>33</v>
      </c>
      <c r="D513" s="15" t="n">
        <v>5510.97852348993</v>
      </c>
      <c r="E513" s="16" t="n">
        <f aca="false">INDEX(Parâmetros!$C$33:$C$37,MATCH(B513,Parâmetros!$A$33:$A$37,0))</f>
        <v>8837.10512820513</v>
      </c>
      <c r="F513" s="7" t="n">
        <f aca="false">MAX(0,(E513-D513)/D513)</f>
        <v>0.603545557388393</v>
      </c>
      <c r="G513" s="7" t="n">
        <f aca="false">MIN(K513*Parâmetros!$B$19,Parâmetros!$B$8)</f>
        <v>0.2</v>
      </c>
      <c r="H513" s="3" t="str">
        <f aca="false">IF(F513&gt;=Parâmetros!$B$6,"Ação","Acompanhamento")</f>
        <v>Ação</v>
      </c>
      <c r="I513" s="17" t="n">
        <v>358.740105540897</v>
      </c>
      <c r="J513" s="11" t="n">
        <f aca="false">D513*I513</f>
        <v>1977009.0171504</v>
      </c>
      <c r="K513" s="7" t="n">
        <f aca="false">Parâmetros!$B$4+Parâmetros!$B$5*F513</f>
        <v>0.170886389347098</v>
      </c>
      <c r="L513" s="11" t="n">
        <f aca="false">D513*(1+G513)</f>
        <v>6613.17422818792</v>
      </c>
      <c r="M513" s="14" t="n">
        <v>1</v>
      </c>
      <c r="N513" s="4" t="n">
        <v>1</v>
      </c>
      <c r="O513" s="3" t="str">
        <f aca="false">IF(AND(B513=4,M513=1),IF(N513&lt;0.8,"Subgrupo 7 dias; fronteira de cluster","Subgrupo 7 dias"),IF(N513&lt;0.8,"Fronteira de cluster",""))</f>
        <v>Subgrupo 7 dias</v>
      </c>
    </row>
    <row r="514" customFormat="false" ht="15" hidden="false" customHeight="false" outlineLevel="0" collapsed="false">
      <c r="A514" s="14" t="n">
        <v>513</v>
      </c>
      <c r="B514" s="14" t="n">
        <v>4</v>
      </c>
      <c r="C514" s="14" t="s">
        <v>33</v>
      </c>
      <c r="D514" s="15" t="n">
        <v>18179.0892857143</v>
      </c>
      <c r="E514" s="16" t="n">
        <f aca="false">INDEX(Parâmetros!$C$33:$C$37,MATCH(B514,Parâmetros!$A$33:$A$37,0))</f>
        <v>8837.10512820513</v>
      </c>
      <c r="F514" s="7" t="n">
        <f aca="false">MAX(0,(E514-D514)/D514)</f>
        <v>0</v>
      </c>
      <c r="G514" s="7" t="n">
        <f aca="false">MIN(K514*Parâmetros!$B$19,Parâmetros!$B$8)</f>
        <v>0.0244038339849275</v>
      </c>
      <c r="H514" s="3" t="str">
        <f aca="false">IF(F514&gt;=Parâmetros!$B$6,"Ação","Acompanhamento")</f>
        <v>Acompanhamento</v>
      </c>
      <c r="I514" s="17" t="n">
        <v>303.779193205945</v>
      </c>
      <c r="J514" s="11" t="n">
        <f aca="false">D514*I514</f>
        <v>5522429.07643312</v>
      </c>
      <c r="K514" s="7" t="n">
        <f aca="false">Parâmetros!$B$4+Parâmetros!$B$5*F514</f>
        <v>0.02</v>
      </c>
      <c r="L514" s="11" t="n">
        <f aca="false">D514*(1+G514)</f>
        <v>18622.72876264</v>
      </c>
      <c r="M514" s="14" t="n">
        <v>0</v>
      </c>
      <c r="N514" s="4" t="n">
        <v>1</v>
      </c>
      <c r="O514" s="3" t="str">
        <f aca="false">IF(AND(B514=4,M514=1),IF(N514&lt;0.8,"Subgrupo 7 dias; fronteira de cluster","Subgrupo 7 dias"),IF(N514&lt;0.8,"Fronteira de cluster",""))</f>
        <v/>
      </c>
    </row>
    <row r="515" customFormat="false" ht="15" hidden="false" customHeight="false" outlineLevel="0" collapsed="false">
      <c r="A515" s="14" t="n">
        <v>514</v>
      </c>
      <c r="B515" s="14" t="n">
        <v>0</v>
      </c>
      <c r="C515" s="14" t="s">
        <v>29</v>
      </c>
      <c r="D515" s="15" t="n">
        <v>5756.00964630225</v>
      </c>
      <c r="E515" s="16" t="n">
        <f aca="false">INDEX(Parâmetros!$C$33:$C$37,MATCH(B515,Parâmetros!$A$33:$A$37,0))</f>
        <v>5476.37033462034</v>
      </c>
      <c r="F515" s="7" t="n">
        <f aca="false">MAX(0,(E515-D515)/D515)</f>
        <v>0</v>
      </c>
      <c r="G515" s="7" t="n">
        <f aca="false">MIN(K515*Parâmetros!$B$19,Parâmetros!$B$8)</f>
        <v>0.0244038339849275</v>
      </c>
      <c r="H515" s="3" t="str">
        <f aca="false">IF(F515&gt;=Parâmetros!$B$6,"Ação","Acompanhamento")</f>
        <v>Acompanhamento</v>
      </c>
      <c r="I515" s="17" t="n">
        <v>299.511873350924</v>
      </c>
      <c r="J515" s="11" t="n">
        <f aca="false">D515*I515</f>
        <v>1723993.23218997</v>
      </c>
      <c r="K515" s="7" t="n">
        <f aca="false">Parâmetros!$B$4+Parâmetros!$B$5*F515</f>
        <v>0.02</v>
      </c>
      <c r="L515" s="11" t="n">
        <f aca="false">D515*(1+G515)</f>
        <v>5896.47835012625</v>
      </c>
      <c r="M515" s="14" t="n">
        <v>0</v>
      </c>
      <c r="N515" s="4" t="n">
        <v>1</v>
      </c>
      <c r="O515" s="3" t="str">
        <f aca="false">IF(AND(B515=4,M515=1),IF(N515&lt;0.8,"Subgrupo 7 dias; fronteira de cluster","Subgrupo 7 dias"),IF(N515&lt;0.8,"Fronteira de cluster",""))</f>
        <v/>
      </c>
    </row>
    <row r="516" customFormat="false" ht="15" hidden="false" customHeight="false" outlineLevel="0" collapsed="false">
      <c r="A516" s="14" t="n">
        <v>515</v>
      </c>
      <c r="B516" s="14" t="n">
        <v>1</v>
      </c>
      <c r="C516" s="14" t="s">
        <v>30</v>
      </c>
      <c r="D516" s="15" t="n">
        <v>9058.15275994865</v>
      </c>
      <c r="E516" s="16" t="n">
        <f aca="false">INDEX(Parâmetros!$C$33:$C$37,MATCH(B516,Parâmetros!$A$33:$A$37,0))</f>
        <v>6959.92435130262</v>
      </c>
      <c r="F516" s="7" t="n">
        <f aca="false">MAX(0,(E516-D516)/D516)</f>
        <v>0</v>
      </c>
      <c r="G516" s="7" t="n">
        <f aca="false">MIN(K516*Parâmetros!$B$19,Parâmetros!$B$8)</f>
        <v>0.0244038339849275</v>
      </c>
      <c r="H516" s="3" t="str">
        <f aca="false">IF(F516&gt;=Parâmetros!$B$6,"Ação","Acompanhamento")</f>
        <v>Acompanhamento</v>
      </c>
      <c r="I516" s="17" t="n">
        <v>301.841825902336</v>
      </c>
      <c r="J516" s="11" t="n">
        <f aca="false">D516*I516</f>
        <v>2734129.36836518</v>
      </c>
      <c r="K516" s="7" t="n">
        <f aca="false">Parâmetros!$B$4+Parâmetros!$B$5*F516</f>
        <v>0.02</v>
      </c>
      <c r="L516" s="11" t="n">
        <f aca="false">D516*(1+G516)</f>
        <v>9279.20641611255</v>
      </c>
      <c r="M516" s="14" t="n">
        <v>0</v>
      </c>
      <c r="N516" s="4" t="n">
        <v>1</v>
      </c>
      <c r="O516" s="3" t="str">
        <f aca="false">IF(AND(B516=4,M516=1),IF(N516&lt;0.8,"Subgrupo 7 dias; fronteira de cluster","Subgrupo 7 dias"),IF(N516&lt;0.8,"Fronteira de cluster",""))</f>
        <v/>
      </c>
    </row>
    <row r="517" customFormat="false" ht="15" hidden="false" customHeight="false" outlineLevel="0" collapsed="false">
      <c r="A517" s="14" t="n">
        <v>516</v>
      </c>
      <c r="B517" s="14" t="n">
        <v>0</v>
      </c>
      <c r="C517" s="14" t="s">
        <v>29</v>
      </c>
      <c r="D517" s="15" t="n">
        <v>5879.08472400513</v>
      </c>
      <c r="E517" s="16" t="n">
        <f aca="false">INDEX(Parâmetros!$C$33:$C$37,MATCH(B517,Parâmetros!$A$33:$A$37,0))</f>
        <v>5476.37033462034</v>
      </c>
      <c r="F517" s="7" t="n">
        <f aca="false">MAX(0,(E517-D517)/D517)</f>
        <v>0</v>
      </c>
      <c r="G517" s="7" t="n">
        <f aca="false">MIN(K517*Parâmetros!$B$19,Parâmetros!$B$8)</f>
        <v>0.0244038339849275</v>
      </c>
      <c r="H517" s="3" t="str">
        <f aca="false">IF(F517&gt;=Parâmetros!$B$6,"Ação","Acompanhamento")</f>
        <v>Acompanhamento</v>
      </c>
      <c r="I517" s="17" t="n">
        <v>301.841825902336</v>
      </c>
      <c r="J517" s="11" t="n">
        <f aca="false">D517*I517</f>
        <v>1774553.66772824</v>
      </c>
      <c r="K517" s="7" t="n">
        <f aca="false">Parâmetros!$B$4+Parâmetros!$B$5*F517</f>
        <v>0.02</v>
      </c>
      <c r="L517" s="11" t="n">
        <f aca="false">D517*(1+G517)</f>
        <v>6022.55693159308</v>
      </c>
      <c r="M517" s="14" t="n">
        <v>0</v>
      </c>
      <c r="N517" s="4" t="n">
        <v>0.948051948051948</v>
      </c>
      <c r="O517" s="3" t="str">
        <f aca="false">IF(AND(B517=4,M517=1),IF(N517&lt;0.8,"Subgrupo 7 dias; fronteira de cluster","Subgrupo 7 dias"),IF(N517&lt;0.8,"Fronteira de cluster",""))</f>
        <v/>
      </c>
    </row>
    <row r="518" customFormat="false" ht="15" hidden="false" customHeight="false" outlineLevel="0" collapsed="false">
      <c r="A518" s="14" t="n">
        <v>517</v>
      </c>
      <c r="B518" s="14" t="n">
        <v>3</v>
      </c>
      <c r="C518" s="14" t="s">
        <v>32</v>
      </c>
      <c r="D518" s="15" t="n">
        <v>5962.43873517787</v>
      </c>
      <c r="E518" s="16" t="n">
        <f aca="false">INDEX(Parâmetros!$C$33:$C$37,MATCH(B518,Parâmetros!$A$33:$A$37,0))</f>
        <v>5909.24487179487</v>
      </c>
      <c r="F518" s="7" t="n">
        <f aca="false">MAX(0,(E518-D518)/D518)</f>
        <v>0</v>
      </c>
      <c r="G518" s="7" t="n">
        <f aca="false">MIN(K518*Parâmetros!$B$19,Parâmetros!$B$8)</f>
        <v>0.0244038339849275</v>
      </c>
      <c r="H518" s="3" t="str">
        <f aca="false">IF(F518&gt;=Parâmetros!$B$6,"Ação","Acompanhamento")</f>
        <v>Acompanhamento</v>
      </c>
      <c r="I518" s="17" t="n">
        <v>294.092356687898</v>
      </c>
      <c r="J518" s="11" t="n">
        <f aca="false">D518*I518</f>
        <v>1753507.65923567</v>
      </c>
      <c r="K518" s="7" t="n">
        <f aca="false">Parâmetros!$B$4+Parâmetros!$B$5*F518</f>
        <v>0.02</v>
      </c>
      <c r="L518" s="11" t="n">
        <f aca="false">D518*(1+G518)</f>
        <v>6107.94510021645</v>
      </c>
      <c r="M518" s="14" t="n">
        <v>0</v>
      </c>
      <c r="N518" s="4" t="n">
        <v>1</v>
      </c>
      <c r="O518" s="3" t="str">
        <f aca="false">IF(AND(B518=4,M518=1),IF(N518&lt;0.8,"Subgrupo 7 dias; fronteira de cluster","Subgrupo 7 dias"),IF(N518&lt;0.8,"Fronteira de cluster",""))</f>
        <v/>
      </c>
    </row>
    <row r="519" customFormat="false" ht="15" hidden="false" customHeight="false" outlineLevel="0" collapsed="false">
      <c r="A519" s="14" t="n">
        <v>518</v>
      </c>
      <c r="B519" s="14" t="n">
        <v>1</v>
      </c>
      <c r="C519" s="14" t="s">
        <v>30</v>
      </c>
      <c r="D519" s="15" t="n">
        <v>5865.12359550562</v>
      </c>
      <c r="E519" s="16" t="n">
        <f aca="false">INDEX(Parâmetros!$C$33:$C$37,MATCH(B519,Parâmetros!$A$33:$A$37,0))</f>
        <v>6959.92435130262</v>
      </c>
      <c r="F519" s="7" t="n">
        <f aca="false">MAX(0,(E519-D519)/D519)</f>
        <v>0.186662861910691</v>
      </c>
      <c r="G519" s="7" t="n">
        <f aca="false">MIN(K519*Parâmetros!$B$19,Parâmetros!$B$8)</f>
        <v>0.0813449526501768</v>
      </c>
      <c r="H519" s="3" t="str">
        <f aca="false">IF(F519&gt;=Parâmetros!$B$6,"Ação","Acompanhamento")</f>
        <v>Ação</v>
      </c>
      <c r="I519" s="17" t="n">
        <v>299.993403693931</v>
      </c>
      <c r="J519" s="11" t="n">
        <f aca="false">D519*I519</f>
        <v>1759498.39050132</v>
      </c>
      <c r="K519" s="7" t="n">
        <f aca="false">Parâmetros!$B$4+Parâmetros!$B$5*F519</f>
        <v>0.0666657154776729</v>
      </c>
      <c r="L519" s="11" t="n">
        <f aca="false">D519*(1+G519)</f>
        <v>6342.22179666946</v>
      </c>
      <c r="M519" s="14" t="n">
        <v>0</v>
      </c>
      <c r="N519" s="4" t="n">
        <v>1</v>
      </c>
      <c r="O519" s="3" t="str">
        <f aca="false">IF(AND(B519=4,M519=1),IF(N519&lt;0.8,"Subgrupo 7 dias; fronteira de cluster","Subgrupo 7 dias"),IF(N519&lt;0.8,"Fronteira de cluster",""))</f>
        <v/>
      </c>
    </row>
    <row r="520" customFormat="false" ht="15" hidden="false" customHeight="false" outlineLevel="0" collapsed="false">
      <c r="A520" s="14" t="n">
        <v>519</v>
      </c>
      <c r="B520" s="14" t="n">
        <v>2</v>
      </c>
      <c r="C520" s="14" t="s">
        <v>31</v>
      </c>
      <c r="D520" s="15" t="n">
        <v>5306.32015306122</v>
      </c>
      <c r="E520" s="16" t="n">
        <f aca="false">INDEX(Parâmetros!$C$33:$C$37,MATCH(B520,Parâmetros!$A$33:$A$37,0))</f>
        <v>6324.80102695764</v>
      </c>
      <c r="F520" s="7" t="n">
        <f aca="false">MAX(0,(E520-D520)/D520)</f>
        <v>0.191937320877416</v>
      </c>
      <c r="G520" s="7" t="n">
        <f aca="false">MIN(K520*Parâmetros!$B$19,Parâmetros!$B$8)</f>
        <v>0.0829539154124802</v>
      </c>
      <c r="H520" s="3" t="str">
        <f aca="false">IF(F520&gt;=Parâmetros!$B$6,"Ação","Acompanhamento")</f>
        <v>Ação</v>
      </c>
      <c r="I520" s="17" t="n">
        <v>303.779193205945</v>
      </c>
      <c r="J520" s="11" t="n">
        <f aca="false">D520*I520</f>
        <v>1611949.65498938</v>
      </c>
      <c r="K520" s="7" t="n">
        <f aca="false">Parâmetros!$B$4+Parâmetros!$B$5*F520</f>
        <v>0.0679843302193541</v>
      </c>
      <c r="L520" s="11" t="n">
        <f aca="false">D520*(1+G520)</f>
        <v>5746.5001861898</v>
      </c>
      <c r="M520" s="14" t="n">
        <v>0</v>
      </c>
      <c r="N520" s="4" t="n">
        <v>0.949367088607595</v>
      </c>
      <c r="O520" s="3" t="str">
        <f aca="false">IF(AND(B520=4,M520=1),IF(N520&lt;0.8,"Subgrupo 7 dias; fronteira de cluster","Subgrupo 7 dias"),IF(N520&lt;0.8,"Fronteira de cluster",""))</f>
        <v/>
      </c>
    </row>
    <row r="521" customFormat="false" ht="15" hidden="false" customHeight="false" outlineLevel="0" collapsed="false">
      <c r="A521" s="14" t="n">
        <v>520</v>
      </c>
      <c r="B521" s="14" t="n">
        <v>1</v>
      </c>
      <c r="C521" s="14" t="s">
        <v>30</v>
      </c>
      <c r="D521" s="15" t="n">
        <v>3869.73214285714</v>
      </c>
      <c r="E521" s="16" t="n">
        <f aca="false">INDEX(Parâmetros!$C$33:$C$37,MATCH(B521,Parâmetros!$A$33:$A$37,0))</f>
        <v>6959.92435130262</v>
      </c>
      <c r="F521" s="7" t="n">
        <f aca="false">MAX(0,(E521-D521)/D521)</f>
        <v>0.79855454960867</v>
      </c>
      <c r="G521" s="7" t="n">
        <f aca="false">MIN(K521*Parâmetros!$B$19,Parâmetros!$B$8)</f>
        <v>0.2</v>
      </c>
      <c r="H521" s="3" t="str">
        <f aca="false">IF(F521&gt;=Parâmetros!$B$6,"Ação","Acompanhamento")</f>
        <v>Ação</v>
      </c>
      <c r="I521" s="17" t="n">
        <v>303.779193205945</v>
      </c>
      <c r="J521" s="11" t="n">
        <f aca="false">D521*I521</f>
        <v>1175544.10828026</v>
      </c>
      <c r="K521" s="7" t="n">
        <f aca="false">Parâmetros!$B$4+Parâmetros!$B$5*F521</f>
        <v>0.219638637402167</v>
      </c>
      <c r="L521" s="11" t="n">
        <f aca="false">D521*(1+G521)</f>
        <v>4643.67857142857</v>
      </c>
      <c r="M521" s="14" t="n">
        <v>0</v>
      </c>
      <c r="N521" s="4" t="n">
        <v>0.804878048780488</v>
      </c>
      <c r="O521" s="3" t="str">
        <f aca="false">IF(AND(B521=4,M521=1),IF(N521&lt;0.8,"Subgrupo 7 dias; fronteira de cluster","Subgrupo 7 dias"),IF(N521&lt;0.8,"Fronteira de cluster",""))</f>
        <v/>
      </c>
    </row>
    <row r="522" customFormat="false" ht="15" hidden="false" customHeight="false" outlineLevel="0" collapsed="false">
      <c r="A522" s="14" t="n">
        <v>521</v>
      </c>
      <c r="B522" s="14" t="n">
        <v>1</v>
      </c>
      <c r="C522" s="14" t="s">
        <v>30</v>
      </c>
      <c r="D522" s="15" t="n">
        <v>5181.01412066752</v>
      </c>
      <c r="E522" s="16" t="n">
        <f aca="false">INDEX(Parâmetros!$C$33:$C$37,MATCH(B522,Parâmetros!$A$33:$A$37,0))</f>
        <v>6959.92435130262</v>
      </c>
      <c r="F522" s="7" t="n">
        <f aca="false">MAX(0,(E522-D522)/D522)</f>
        <v>0.343351743346707</v>
      </c>
      <c r="G522" s="7" t="n">
        <f aca="false">MIN(K522*Parâmetros!$B$19,Parâmetros!$B$8)</f>
        <v>0.129142570773283</v>
      </c>
      <c r="H522" s="3" t="str">
        <f aca="false">IF(F522&gt;=Parâmetros!$B$6,"Ação","Acompanhamento")</f>
        <v>Ação</v>
      </c>
      <c r="I522" s="17" t="n">
        <v>301.841825902336</v>
      </c>
      <c r="J522" s="11" t="n">
        <f aca="false">D522*I522</f>
        <v>1563846.76220807</v>
      </c>
      <c r="K522" s="7" t="n">
        <f aca="false">Parâmetros!$B$4+Parâmetros!$B$5*F522</f>
        <v>0.105837935836677</v>
      </c>
      <c r="L522" s="11" t="n">
        <f aca="false">D522*(1+G522)</f>
        <v>5850.10360342321</v>
      </c>
      <c r="M522" s="14" t="n">
        <v>0</v>
      </c>
      <c r="N522" s="4" t="n">
        <v>1</v>
      </c>
      <c r="O522" s="3" t="str">
        <f aca="false">IF(AND(B522=4,M522=1),IF(N522&lt;0.8,"Subgrupo 7 dias; fronteira de cluster","Subgrupo 7 dias"),IF(N522&lt;0.8,"Fronteira de cluster",""))</f>
        <v/>
      </c>
    </row>
    <row r="523" customFormat="false" ht="15" hidden="false" customHeight="false" outlineLevel="0" collapsed="false">
      <c r="A523" s="14" t="n">
        <v>522</v>
      </c>
      <c r="B523" s="14" t="n">
        <v>1</v>
      </c>
      <c r="C523" s="14" t="s">
        <v>30</v>
      </c>
      <c r="D523" s="15" t="n">
        <v>8222.88924558588</v>
      </c>
      <c r="E523" s="16" t="n">
        <f aca="false">INDEX(Parâmetros!$C$33:$C$37,MATCH(B523,Parâmetros!$A$33:$A$37,0))</f>
        <v>6959.92435130262</v>
      </c>
      <c r="F523" s="7" t="n">
        <f aca="false">MAX(0,(E523-D523)/D523)</f>
        <v>0</v>
      </c>
      <c r="G523" s="7" t="n">
        <f aca="false">MIN(K523*Parâmetros!$B$19,Parâmetros!$B$8)</f>
        <v>0.0244038339849275</v>
      </c>
      <c r="H523" s="3" t="str">
        <f aca="false">IF(F523&gt;=Parâmetros!$B$6,"Ação","Acompanhamento")</f>
        <v>Acompanhamento</v>
      </c>
      <c r="I523" s="17" t="n">
        <v>299.993403693931</v>
      </c>
      <c r="J523" s="11" t="n">
        <f aca="false">D523*I523</f>
        <v>2466812.53298153</v>
      </c>
      <c r="K523" s="7" t="n">
        <f aca="false">Parâmetros!$B$4+Parâmetros!$B$5*F523</f>
        <v>0.02</v>
      </c>
      <c r="L523" s="11" t="n">
        <f aca="false">D523*(1+G523)</f>
        <v>8423.5592696116</v>
      </c>
      <c r="M523" s="14" t="n">
        <v>0</v>
      </c>
      <c r="N523" s="4" t="n">
        <v>1</v>
      </c>
      <c r="O523" s="3" t="str">
        <f aca="false">IF(AND(B523=4,M523=1),IF(N523&lt;0.8,"Subgrupo 7 dias; fronteira de cluster","Subgrupo 7 dias"),IF(N523&lt;0.8,"Fronteira de cluster",""))</f>
        <v/>
      </c>
    </row>
    <row r="524" customFormat="false" ht="15" hidden="false" customHeight="false" outlineLevel="0" collapsed="false">
      <c r="A524" s="14" t="n">
        <v>523</v>
      </c>
      <c r="B524" s="14" t="n">
        <v>4</v>
      </c>
      <c r="C524" s="14" t="s">
        <v>33</v>
      </c>
      <c r="D524" s="15" t="n">
        <v>15530.6058673469</v>
      </c>
      <c r="E524" s="16" t="n">
        <f aca="false">INDEX(Parâmetros!$C$33:$C$37,MATCH(B524,Parâmetros!$A$33:$A$37,0))</f>
        <v>8837.10512820513</v>
      </c>
      <c r="F524" s="7" t="n">
        <f aca="false">MAX(0,(E524-D524)/D524)</f>
        <v>0</v>
      </c>
      <c r="G524" s="7" t="n">
        <f aca="false">MIN(K524*Parâmetros!$B$19,Parâmetros!$B$8)</f>
        <v>0.0244038339849275</v>
      </c>
      <c r="H524" s="3" t="str">
        <f aca="false">IF(F524&gt;=Parâmetros!$B$6,"Ação","Acompanhamento")</f>
        <v>Acompanhamento</v>
      </c>
      <c r="I524" s="17" t="n">
        <v>303.779193205945</v>
      </c>
      <c r="J524" s="11" t="n">
        <f aca="false">D524*I524</f>
        <v>4717874.92038217</v>
      </c>
      <c r="K524" s="7" t="n">
        <f aca="false">Parâmetros!$B$4+Parâmetros!$B$5*F524</f>
        <v>0.02</v>
      </c>
      <c r="L524" s="11" t="n">
        <f aca="false">D524*(1+G524)</f>
        <v>15909.612194619</v>
      </c>
      <c r="M524" s="14" t="n">
        <v>0</v>
      </c>
      <c r="N524" s="4" t="n">
        <v>1</v>
      </c>
      <c r="O524" s="3" t="str">
        <f aca="false">IF(AND(B524=4,M524=1),IF(N524&lt;0.8,"Subgrupo 7 dias; fronteira de cluster","Subgrupo 7 dias"),IF(N524&lt;0.8,"Fronteira de cluster",""))</f>
        <v/>
      </c>
    </row>
    <row r="525" customFormat="false" ht="15" hidden="false" customHeight="false" outlineLevel="0" collapsed="false">
      <c r="A525" s="14" t="n">
        <v>524</v>
      </c>
      <c r="B525" s="14" t="n">
        <v>2</v>
      </c>
      <c r="C525" s="14" t="s">
        <v>31</v>
      </c>
      <c r="D525" s="15" t="n">
        <v>7710.81952326901</v>
      </c>
      <c r="E525" s="16" t="n">
        <f aca="false">INDEX(Parâmetros!$C$33:$C$37,MATCH(B525,Parâmetros!$A$33:$A$37,0))</f>
        <v>6324.80102695764</v>
      </c>
      <c r="F525" s="7" t="n">
        <f aca="false">MAX(0,(E525-D525)/D525)</f>
        <v>0</v>
      </c>
      <c r="G525" s="7" t="n">
        <f aca="false">MIN(K525*Parâmetros!$B$19,Parâmetros!$B$8)</f>
        <v>0.0244038339849275</v>
      </c>
      <c r="H525" s="3" t="str">
        <f aca="false">IF(F525&gt;=Parâmetros!$B$6,"Ação","Acompanhamento")</f>
        <v>Acompanhamento</v>
      </c>
      <c r="I525" s="17" t="n">
        <v>341.364118895966</v>
      </c>
      <c r="J525" s="11" t="n">
        <f aca="false">D525*I525</f>
        <v>2632197.11252654</v>
      </c>
      <c r="K525" s="7" t="n">
        <f aca="false">Parâmetros!$B$4+Parâmetros!$B$5*F525</f>
        <v>0.02</v>
      </c>
      <c r="L525" s="11" t="n">
        <f aca="false">D525*(1+G525)</f>
        <v>7898.99308280261</v>
      </c>
      <c r="M525" s="14" t="n">
        <v>1</v>
      </c>
      <c r="N525" s="4" t="n">
        <v>0.973684210526316</v>
      </c>
      <c r="O525" s="3" t="str">
        <f aca="false">IF(AND(B525=4,M525=1),IF(N525&lt;0.8,"Subgrupo 7 dias; fronteira de cluster","Subgrupo 7 dias"),IF(N525&lt;0.8,"Fronteira de cluster",""))</f>
        <v/>
      </c>
    </row>
    <row r="526" customFormat="false" ht="15" hidden="false" customHeight="false" outlineLevel="0" collapsed="false">
      <c r="A526" s="14" t="n">
        <v>525</v>
      </c>
      <c r="B526" s="14" t="n">
        <v>4</v>
      </c>
      <c r="C526" s="14" t="s">
        <v>33</v>
      </c>
      <c r="D526" s="15" t="n">
        <v>10233.0268199234</v>
      </c>
      <c r="E526" s="16" t="n">
        <f aca="false">INDEX(Parâmetros!$C$33:$C$37,MATCH(B526,Parâmetros!$A$33:$A$37,0))</f>
        <v>8837.10512820513</v>
      </c>
      <c r="F526" s="7" t="n">
        <f aca="false">MAX(0,(E526-D526)/D526)</f>
        <v>0</v>
      </c>
      <c r="G526" s="7" t="n">
        <f aca="false">MIN(K526*Parâmetros!$B$19,Parâmetros!$B$8)</f>
        <v>0.0244038339849275</v>
      </c>
      <c r="H526" s="3" t="str">
        <f aca="false">IF(F526&gt;=Parâmetros!$B$6,"Ação","Acompanhamento")</f>
        <v>Acompanhamento</v>
      </c>
      <c r="I526" s="17" t="n">
        <v>303.391719745223</v>
      </c>
      <c r="J526" s="11" t="n">
        <f aca="false">D526*I526</f>
        <v>3104615.60509554</v>
      </c>
      <c r="K526" s="7" t="n">
        <f aca="false">Parâmetros!$B$4+Parâmetros!$B$5*F526</f>
        <v>0.02</v>
      </c>
      <c r="L526" s="11" t="n">
        <f aca="false">D526*(1+G526)</f>
        <v>10482.7519076001</v>
      </c>
      <c r="M526" s="14" t="n">
        <v>0</v>
      </c>
      <c r="N526" s="4" t="n">
        <v>0.987951807228916</v>
      </c>
      <c r="O526" s="3" t="str">
        <f aca="false">IF(AND(B526=4,M526=1),IF(N526&lt;0.8,"Subgrupo 7 dias; fronteira de cluster","Subgrupo 7 dias"),IF(N526&lt;0.8,"Fronteira de cluster",""))</f>
        <v/>
      </c>
    </row>
    <row r="527" customFormat="false" ht="15" hidden="false" customHeight="false" outlineLevel="0" collapsed="false">
      <c r="A527" s="14" t="n">
        <v>526</v>
      </c>
      <c r="B527" s="14" t="n">
        <v>0</v>
      </c>
      <c r="C527" s="14" t="s">
        <v>29</v>
      </c>
      <c r="D527" s="15" t="n">
        <v>10630.2314578005</v>
      </c>
      <c r="E527" s="16" t="n">
        <f aca="false">INDEX(Parâmetros!$C$33:$C$37,MATCH(B527,Parâmetros!$A$33:$A$37,0))</f>
        <v>5476.37033462034</v>
      </c>
      <c r="F527" s="7" t="n">
        <f aca="false">MAX(0,(E527-D527)/D527)</f>
        <v>0</v>
      </c>
      <c r="G527" s="7" t="n">
        <f aca="false">MIN(K527*Parâmetros!$B$19,Parâmetros!$B$8)</f>
        <v>0.0244038339849275</v>
      </c>
      <c r="H527" s="3" t="str">
        <f aca="false">IF(F527&gt;=Parâmetros!$B$6,"Ação","Acompanhamento")</f>
        <v>Acompanhamento</v>
      </c>
      <c r="I527" s="17" t="n">
        <v>303.004246284501</v>
      </c>
      <c r="J527" s="11" t="n">
        <f aca="false">D527*I527</f>
        <v>3221005.27070064</v>
      </c>
      <c r="K527" s="7" t="n">
        <f aca="false">Parâmetros!$B$4+Parâmetros!$B$5*F527</f>
        <v>0.02</v>
      </c>
      <c r="L527" s="11" t="n">
        <f aca="false">D527*(1+G527)</f>
        <v>10889.649861518</v>
      </c>
      <c r="M527" s="14" t="n">
        <v>0</v>
      </c>
      <c r="N527" s="4" t="n">
        <v>0.91358024691358</v>
      </c>
      <c r="O527" s="3" t="str">
        <f aca="false">IF(AND(B527=4,M527=1),IF(N527&lt;0.8,"Subgrupo 7 dias; fronteira de cluster","Subgrupo 7 dias"),IF(N527&lt;0.8,"Fronteira de cluster",""))</f>
        <v/>
      </c>
    </row>
    <row r="528" customFormat="false" ht="15" hidden="false" customHeight="false" outlineLevel="0" collapsed="false">
      <c r="A528" s="14" t="n">
        <v>527</v>
      </c>
      <c r="B528" s="14" t="n">
        <v>1</v>
      </c>
      <c r="C528" s="14" t="s">
        <v>30</v>
      </c>
      <c r="D528" s="15" t="n">
        <v>10734.6939820743</v>
      </c>
      <c r="E528" s="16" t="n">
        <f aca="false">INDEX(Parâmetros!$C$33:$C$37,MATCH(B528,Parâmetros!$A$33:$A$37,0))</f>
        <v>6959.92435130262</v>
      </c>
      <c r="F528" s="7" t="n">
        <f aca="false">MAX(0,(E528-D528)/D528)</f>
        <v>0</v>
      </c>
      <c r="G528" s="7" t="n">
        <f aca="false">MIN(K528*Parâmetros!$B$19,Parâmetros!$B$8)</f>
        <v>0.0244038339849275</v>
      </c>
      <c r="H528" s="3" t="str">
        <f aca="false">IF(F528&gt;=Parâmetros!$B$6,"Ação","Acompanhamento")</f>
        <v>Acompanhamento</v>
      </c>
      <c r="I528" s="17" t="n">
        <v>302.616772823779</v>
      </c>
      <c r="J528" s="11" t="n">
        <f aca="false">D528*I528</f>
        <v>3248498.45010616</v>
      </c>
      <c r="K528" s="7" t="n">
        <f aca="false">Parâmetros!$B$4+Parâmetros!$B$5*F528</f>
        <v>0.02</v>
      </c>
      <c r="L528" s="11" t="n">
        <f aca="false">D528*(1+G528)</f>
        <v>10996.6616718918</v>
      </c>
      <c r="M528" s="14" t="n">
        <v>0</v>
      </c>
      <c r="N528" s="4" t="n">
        <v>0.987012987012987</v>
      </c>
      <c r="O528" s="3" t="str">
        <f aca="false">IF(AND(B528=4,M528=1),IF(N528&lt;0.8,"Subgrupo 7 dias; fronteira de cluster","Subgrupo 7 dias"),IF(N528&lt;0.8,"Fronteira de cluster",""))</f>
        <v/>
      </c>
    </row>
    <row r="529" customFormat="false" ht="15" hidden="false" customHeight="false" outlineLevel="0" collapsed="false">
      <c r="A529" s="14" t="n">
        <v>528</v>
      </c>
      <c r="B529" s="14" t="n">
        <v>1</v>
      </c>
      <c r="C529" s="14" t="s">
        <v>30</v>
      </c>
      <c r="D529" s="15" t="n">
        <v>10704.4441591784</v>
      </c>
      <c r="E529" s="16" t="n">
        <f aca="false">INDEX(Parâmetros!$C$33:$C$37,MATCH(B529,Parâmetros!$A$33:$A$37,0))</f>
        <v>6959.92435130262</v>
      </c>
      <c r="F529" s="7" t="n">
        <f aca="false">MAX(0,(E529-D529)/D529)</f>
        <v>0</v>
      </c>
      <c r="G529" s="7" t="n">
        <f aca="false">MIN(K529*Parâmetros!$B$19,Parâmetros!$B$8)</f>
        <v>0.0244038339849275</v>
      </c>
      <c r="H529" s="3" t="str">
        <f aca="false">IF(F529&gt;=Parâmetros!$B$6,"Ação","Acompanhamento")</f>
        <v>Acompanhamento</v>
      </c>
      <c r="I529" s="17" t="n">
        <v>301.841825902336</v>
      </c>
      <c r="J529" s="11" t="n">
        <f aca="false">D529*I529</f>
        <v>3231048.97027601</v>
      </c>
      <c r="K529" s="7" t="n">
        <f aca="false">Parâmetros!$B$4+Parâmetros!$B$5*F529</f>
        <v>0.02</v>
      </c>
      <c r="L529" s="11" t="n">
        <f aca="false">D529*(1+G529)</f>
        <v>10965.6736373399</v>
      </c>
      <c r="M529" s="14" t="n">
        <v>0</v>
      </c>
      <c r="N529" s="4" t="n">
        <v>1</v>
      </c>
      <c r="O529" s="3" t="str">
        <f aca="false">IF(AND(B529=4,M529=1),IF(N529&lt;0.8,"Subgrupo 7 dias; fronteira de cluster","Subgrupo 7 dias"),IF(N529&lt;0.8,"Fronteira de cluster",""))</f>
        <v/>
      </c>
    </row>
    <row r="530" customFormat="false" ht="15" hidden="false" customHeight="false" outlineLevel="0" collapsed="false">
      <c r="A530" s="14" t="n">
        <v>529</v>
      </c>
      <c r="B530" s="14" t="n">
        <v>1</v>
      </c>
      <c r="C530" s="14" t="s">
        <v>30</v>
      </c>
      <c r="D530" s="15" t="n">
        <v>7823.78316326531</v>
      </c>
      <c r="E530" s="16" t="n">
        <f aca="false">INDEX(Parâmetros!$C$33:$C$37,MATCH(B530,Parâmetros!$A$33:$A$37,0))</f>
        <v>6959.92435130262</v>
      </c>
      <c r="F530" s="7" t="n">
        <f aca="false">MAX(0,(E530-D530)/D530)</f>
        <v>0</v>
      </c>
      <c r="G530" s="7" t="n">
        <f aca="false">MIN(K530*Parâmetros!$B$19,Parâmetros!$B$8)</f>
        <v>0.0244038339849275</v>
      </c>
      <c r="H530" s="3" t="str">
        <f aca="false">IF(F530&gt;=Parâmetros!$B$6,"Ação","Acompanhamento")</f>
        <v>Acompanhamento</v>
      </c>
      <c r="I530" s="17" t="n">
        <v>303.779193205945</v>
      </c>
      <c r="J530" s="11" t="n">
        <f aca="false">D530*I530</f>
        <v>2376702.53715499</v>
      </c>
      <c r="K530" s="7" t="n">
        <f aca="false">Parâmetros!$B$4+Parâmetros!$B$5*F530</f>
        <v>0.02</v>
      </c>
      <c r="L530" s="11" t="n">
        <f aca="false">D530*(1+G530)</f>
        <v>8014.7134687157</v>
      </c>
      <c r="M530" s="14" t="n">
        <v>0</v>
      </c>
      <c r="N530" s="4" t="n">
        <v>1</v>
      </c>
      <c r="O530" s="3" t="str">
        <f aca="false">IF(AND(B530=4,M530=1),IF(N530&lt;0.8,"Subgrupo 7 dias; fronteira de cluster","Subgrupo 7 dias"),IF(N530&lt;0.8,"Fronteira de cluster",""))</f>
        <v/>
      </c>
    </row>
    <row r="531" customFormat="false" ht="15" hidden="false" customHeight="false" outlineLevel="0" collapsed="false">
      <c r="A531" s="14" t="n">
        <v>530</v>
      </c>
      <c r="B531" s="14" t="n">
        <v>2</v>
      </c>
      <c r="C531" s="14" t="s">
        <v>31</v>
      </c>
      <c r="D531" s="15" t="n">
        <v>4634.3233995585</v>
      </c>
      <c r="E531" s="16" t="n">
        <f aca="false">INDEX(Parâmetros!$C$33:$C$37,MATCH(B531,Parâmetros!$A$33:$A$37,0))</f>
        <v>6324.80102695764</v>
      </c>
      <c r="F531" s="7" t="n">
        <f aca="false">MAX(0,(E531-D531)/D531)</f>
        <v>0.364773340496735</v>
      </c>
      <c r="G531" s="7" t="n">
        <f aca="false">MIN(K531*Parâmetros!$B$19,Parâmetros!$B$8)</f>
        <v>0.135677184530049</v>
      </c>
      <c r="H531" s="3" t="str">
        <f aca="false">IF(F531&gt;=Parâmetros!$B$6,"Ação","Acompanhamento")</f>
        <v>Ação</v>
      </c>
      <c r="I531" s="17" t="n">
        <v>351.050955414013</v>
      </c>
      <c r="J531" s="11" t="n">
        <f aca="false">D531*I531</f>
        <v>1626883.65711253</v>
      </c>
      <c r="K531" s="7" t="n">
        <f aca="false">Parâmetros!$B$4+Parâmetros!$B$5*F531</f>
        <v>0.111193335124184</v>
      </c>
      <c r="L531" s="11" t="n">
        <f aca="false">D531*(1+G531)</f>
        <v>5263.09535061232</v>
      </c>
      <c r="M531" s="14" t="n">
        <v>1</v>
      </c>
      <c r="N531" s="4" t="n">
        <v>1</v>
      </c>
      <c r="O531" s="3" t="str">
        <f aca="false">IF(AND(B531=4,M531=1),IF(N531&lt;0.8,"Subgrupo 7 dias; fronteira de cluster","Subgrupo 7 dias"),IF(N531&lt;0.8,"Fronteira de cluster",""))</f>
        <v/>
      </c>
    </row>
    <row r="532" customFormat="false" ht="15" hidden="false" customHeight="false" outlineLevel="0" collapsed="false">
      <c r="A532" s="14" t="n">
        <v>531</v>
      </c>
      <c r="B532" s="14" t="n">
        <v>1</v>
      </c>
      <c r="C532" s="14" t="s">
        <v>30</v>
      </c>
      <c r="D532" s="15" t="n">
        <v>4901.93494897959</v>
      </c>
      <c r="E532" s="16" t="n">
        <f aca="false">INDEX(Parâmetros!$C$33:$C$37,MATCH(B532,Parâmetros!$A$33:$A$37,0))</f>
        <v>6959.92435130262</v>
      </c>
      <c r="F532" s="7" t="n">
        <f aca="false">MAX(0,(E532-D532)/D532)</f>
        <v>0.419832050760165</v>
      </c>
      <c r="G532" s="7" t="n">
        <f aca="false">MIN(K532*Parâmetros!$B$19,Parâmetros!$B$8)</f>
        <v>0.152472729838711</v>
      </c>
      <c r="H532" s="3" t="str">
        <f aca="false">IF(F532&gt;=Parâmetros!$B$6,"Ação","Acompanhamento")</f>
        <v>Ação</v>
      </c>
      <c r="I532" s="17" t="n">
        <v>303.779193205945</v>
      </c>
      <c r="J532" s="11" t="n">
        <f aca="false">D532*I532</f>
        <v>1489105.84394904</v>
      </c>
      <c r="K532" s="7" t="n">
        <f aca="false">Parâmetros!$B$4+Parâmetros!$B$5*F532</f>
        <v>0.124958012690041</v>
      </c>
      <c r="L532" s="11" t="n">
        <f aca="false">D532*(1+G532)</f>
        <v>5649.3463521423</v>
      </c>
      <c r="M532" s="14" t="n">
        <v>0</v>
      </c>
      <c r="N532" s="4" t="n">
        <v>0.729411764705882</v>
      </c>
      <c r="O532" s="3" t="str">
        <f aca="false">IF(AND(B532=4,M532=1),IF(N532&lt;0.8,"Subgrupo 7 dias; fronteira de cluster","Subgrupo 7 dias"),IF(N532&lt;0.8,"Fronteira de cluster",""))</f>
        <v>Fronteira de cluster</v>
      </c>
    </row>
    <row r="533" customFormat="false" ht="15" hidden="false" customHeight="false" outlineLevel="0" collapsed="false">
      <c r="A533" s="14" t="n">
        <v>532</v>
      </c>
      <c r="B533" s="14" t="n">
        <v>4</v>
      </c>
      <c r="C533" s="14" t="s">
        <v>33</v>
      </c>
      <c r="D533" s="15" t="n">
        <v>10894.86521181</v>
      </c>
      <c r="E533" s="16" t="n">
        <f aca="false">INDEX(Parâmetros!$C$33:$C$37,MATCH(B533,Parâmetros!$A$33:$A$37,0))</f>
        <v>8837.10512820513</v>
      </c>
      <c r="F533" s="7" t="n">
        <f aca="false">MAX(0,(E533-D533)/D533)</f>
        <v>0</v>
      </c>
      <c r="G533" s="7" t="n">
        <f aca="false">MIN(K533*Parâmetros!$B$19,Parâmetros!$B$8)</f>
        <v>0.0244038339849275</v>
      </c>
      <c r="H533" s="3" t="str">
        <f aca="false">IF(F533&gt;=Parâmetros!$B$6,"Ação","Acompanhamento")</f>
        <v>Acompanhamento</v>
      </c>
      <c r="I533" s="17" t="n">
        <v>301.841825902336</v>
      </c>
      <c r="J533" s="11" t="n">
        <f aca="false">D533*I533</f>
        <v>3288526.00849257</v>
      </c>
      <c r="K533" s="7" t="n">
        <f aca="false">Parâmetros!$B$4+Parâmetros!$B$5*F533</f>
        <v>0.02</v>
      </c>
      <c r="L533" s="11" t="n">
        <f aca="false">D533*(1+G533)</f>
        <v>11160.7416937272</v>
      </c>
      <c r="M533" s="14" t="n">
        <v>0</v>
      </c>
      <c r="N533" s="4" t="n">
        <v>1</v>
      </c>
      <c r="O533" s="3" t="str">
        <f aca="false">IF(AND(B533=4,M533=1),IF(N533&lt;0.8,"Subgrupo 7 dias; fronteira de cluster","Subgrupo 7 dias"),IF(N533&lt;0.8,"Fronteira de cluster",""))</f>
        <v/>
      </c>
    </row>
    <row r="534" customFormat="false" ht="15" hidden="false" customHeight="false" outlineLevel="0" collapsed="false">
      <c r="A534" s="14" t="n">
        <v>533</v>
      </c>
      <c r="B534" s="14" t="n">
        <v>1</v>
      </c>
      <c r="C534" s="14" t="s">
        <v>30</v>
      </c>
      <c r="D534" s="15" t="n">
        <v>9659.64864864865</v>
      </c>
      <c r="E534" s="16" t="n">
        <f aca="false">INDEX(Parâmetros!$C$33:$C$37,MATCH(B534,Parâmetros!$A$33:$A$37,0))</f>
        <v>6959.92435130262</v>
      </c>
      <c r="F534" s="7" t="n">
        <f aca="false">MAX(0,(E534-D534)/D534)</f>
        <v>0</v>
      </c>
      <c r="G534" s="7" t="n">
        <f aca="false">MIN(K534*Parâmetros!$B$19,Parâmetros!$B$8)</f>
        <v>0.0244038339849275</v>
      </c>
      <c r="H534" s="3" t="str">
        <f aca="false">IF(F534&gt;=Parâmetros!$B$6,"Ação","Acompanhamento")</f>
        <v>Acompanhamento</v>
      </c>
      <c r="I534" s="17" t="n">
        <v>301.066878980892</v>
      </c>
      <c r="J534" s="11" t="n">
        <f aca="false">D534*I534</f>
        <v>2908200.27070064</v>
      </c>
      <c r="K534" s="7" t="n">
        <f aca="false">Parâmetros!$B$4+Parâmetros!$B$5*F534</f>
        <v>0.02</v>
      </c>
      <c r="L534" s="11" t="n">
        <f aca="false">D534*(1+G534)</f>
        <v>9895.381110623</v>
      </c>
      <c r="M534" s="14" t="n">
        <v>0</v>
      </c>
      <c r="N534" s="4" t="n">
        <v>1</v>
      </c>
      <c r="O534" s="3" t="str">
        <f aca="false">IF(AND(B534=4,M534=1),IF(N534&lt;0.8,"Subgrupo 7 dias; fronteira de cluster","Subgrupo 7 dias"),IF(N534&lt;0.8,"Fronteira de cluster",""))</f>
        <v/>
      </c>
    </row>
    <row r="535" customFormat="false" ht="15" hidden="false" customHeight="false" outlineLevel="0" collapsed="false">
      <c r="A535" s="14" t="n">
        <v>534</v>
      </c>
      <c r="B535" s="14" t="n">
        <v>1</v>
      </c>
      <c r="C535" s="14" t="s">
        <v>30</v>
      </c>
      <c r="D535" s="15" t="n">
        <v>7519.5569823435</v>
      </c>
      <c r="E535" s="16" t="n">
        <f aca="false">INDEX(Parâmetros!$C$33:$C$37,MATCH(B535,Parâmetros!$A$33:$A$37,0))</f>
        <v>6959.92435130262</v>
      </c>
      <c r="F535" s="7" t="n">
        <f aca="false">MAX(0,(E535-D535)/D535)</f>
        <v>0</v>
      </c>
      <c r="G535" s="7" t="n">
        <f aca="false">MIN(K535*Parâmetros!$B$19,Parâmetros!$B$8)</f>
        <v>0.0244038339849275</v>
      </c>
      <c r="H535" s="3" t="str">
        <f aca="false">IF(F535&gt;=Parâmetros!$B$6,"Ação","Acompanhamento")</f>
        <v>Acompanhamento</v>
      </c>
      <c r="I535" s="17" t="n">
        <v>299.993403693931</v>
      </c>
      <c r="J535" s="11" t="n">
        <f aca="false">D535*I535</f>
        <v>2255817.49340369</v>
      </c>
      <c r="K535" s="7" t="n">
        <f aca="false">Parâmetros!$B$4+Parâmetros!$B$5*F535</f>
        <v>0.02</v>
      </c>
      <c r="L535" s="11" t="n">
        <f aca="false">D535*(1+G535)</f>
        <v>7703.06300258081</v>
      </c>
      <c r="M535" s="14" t="n">
        <v>0</v>
      </c>
      <c r="N535" s="4" t="n">
        <v>1</v>
      </c>
      <c r="O535" s="3" t="str">
        <f aca="false">IF(AND(B535=4,M535=1),IF(N535&lt;0.8,"Subgrupo 7 dias; fronteira de cluster","Subgrupo 7 dias"),IF(N535&lt;0.8,"Fronteira de cluster",""))</f>
        <v/>
      </c>
    </row>
    <row r="536" customFormat="false" ht="15" hidden="false" customHeight="false" outlineLevel="0" collapsed="false">
      <c r="A536" s="14" t="n">
        <v>535</v>
      </c>
      <c r="B536" s="14" t="n">
        <v>0</v>
      </c>
      <c r="C536" s="14" t="s">
        <v>29</v>
      </c>
      <c r="D536" s="15" t="n">
        <v>8115.77150192555</v>
      </c>
      <c r="E536" s="16" t="n">
        <f aca="false">INDEX(Parâmetros!$C$33:$C$37,MATCH(B536,Parâmetros!$A$33:$A$37,0))</f>
        <v>5476.37033462034</v>
      </c>
      <c r="F536" s="7" t="n">
        <f aca="false">MAX(0,(E536-D536)/D536)</f>
        <v>0</v>
      </c>
      <c r="G536" s="7" t="n">
        <f aca="false">MIN(K536*Parâmetros!$B$19,Parâmetros!$B$8)</f>
        <v>0.0244038339849275</v>
      </c>
      <c r="H536" s="3" t="str">
        <f aca="false">IF(F536&gt;=Parâmetros!$B$6,"Ação","Acompanhamento")</f>
        <v>Acompanhamento</v>
      </c>
      <c r="I536" s="17" t="n">
        <v>301.841825902336</v>
      </c>
      <c r="J536" s="11" t="n">
        <f aca="false">D536*I536</f>
        <v>2449679.28874735</v>
      </c>
      <c r="K536" s="7" t="n">
        <f aca="false">Parâmetros!$B$4+Parâmetros!$B$5*F536</f>
        <v>0.02</v>
      </c>
      <c r="L536" s="11" t="n">
        <f aca="false">D536*(1+G536)</f>
        <v>8313.82744231814</v>
      </c>
      <c r="M536" s="14" t="n">
        <v>0</v>
      </c>
      <c r="N536" s="4" t="n">
        <v>0.975308641975309</v>
      </c>
      <c r="O536" s="3" t="str">
        <f aca="false">IF(AND(B536=4,M536=1),IF(N536&lt;0.8,"Subgrupo 7 dias; fronteira de cluster","Subgrupo 7 dias"),IF(N536&lt;0.8,"Fronteira de cluster",""))</f>
        <v/>
      </c>
    </row>
    <row r="537" customFormat="false" ht="15" hidden="false" customHeight="false" outlineLevel="0" collapsed="false">
      <c r="A537" s="14" t="n">
        <v>536</v>
      </c>
      <c r="B537" s="14" t="n">
        <v>1</v>
      </c>
      <c r="C537" s="14" t="s">
        <v>30</v>
      </c>
      <c r="D537" s="15" t="n">
        <v>8323.6136071887</v>
      </c>
      <c r="E537" s="16" t="n">
        <f aca="false">INDEX(Parâmetros!$C$33:$C$37,MATCH(B537,Parâmetros!$A$33:$A$37,0))</f>
        <v>6959.92435130262</v>
      </c>
      <c r="F537" s="7" t="n">
        <f aca="false">MAX(0,(E537-D537)/D537)</f>
        <v>0</v>
      </c>
      <c r="G537" s="7" t="n">
        <f aca="false">MIN(K537*Parâmetros!$B$19,Parâmetros!$B$8)</f>
        <v>0.0244038339849275</v>
      </c>
      <c r="H537" s="3" t="str">
        <f aca="false">IF(F537&gt;=Parâmetros!$B$6,"Ação","Acompanhamento")</f>
        <v>Acompanhamento</v>
      </c>
      <c r="I537" s="17" t="n">
        <v>301.841825902336</v>
      </c>
      <c r="J537" s="11" t="n">
        <f aca="false">D537*I537</f>
        <v>2512414.72929936</v>
      </c>
      <c r="K537" s="7" t="n">
        <f aca="false">Parâmetros!$B$4+Parâmetros!$B$5*F537</f>
        <v>0.02</v>
      </c>
      <c r="L537" s="11" t="n">
        <f aca="false">D537*(1+G537)</f>
        <v>8526.74169181322</v>
      </c>
      <c r="M537" s="14" t="n">
        <v>0</v>
      </c>
      <c r="N537" s="4" t="n">
        <v>1</v>
      </c>
      <c r="O537" s="3" t="str">
        <f aca="false">IF(AND(B537=4,M537=1),IF(N537&lt;0.8,"Subgrupo 7 dias; fronteira de cluster","Subgrupo 7 dias"),IF(N537&lt;0.8,"Fronteira de cluster",""))</f>
        <v/>
      </c>
    </row>
    <row r="538" customFormat="false" ht="15" hidden="false" customHeight="false" outlineLevel="0" collapsed="false">
      <c r="A538" s="14" t="n">
        <v>537</v>
      </c>
      <c r="B538" s="14" t="n">
        <v>0</v>
      </c>
      <c r="C538" s="14" t="s">
        <v>29</v>
      </c>
      <c r="D538" s="15" t="n">
        <v>5580.17889317889</v>
      </c>
      <c r="E538" s="16" t="n">
        <f aca="false">INDEX(Parâmetros!$C$33:$C$37,MATCH(B538,Parâmetros!$A$33:$A$37,0))</f>
        <v>5476.37033462034</v>
      </c>
      <c r="F538" s="7" t="n">
        <f aca="false">MAX(0,(E538-D538)/D538)</f>
        <v>0</v>
      </c>
      <c r="G538" s="7" t="n">
        <f aca="false">MIN(K538*Parâmetros!$B$19,Parâmetros!$B$8)</f>
        <v>0.0244038339849275</v>
      </c>
      <c r="H538" s="3" t="str">
        <f aca="false">IF(F538&gt;=Parâmetros!$B$6,"Ação","Acompanhamento")</f>
        <v>Acompanhamento</v>
      </c>
      <c r="I538" s="17" t="n">
        <v>301.066878980892</v>
      </c>
      <c r="J538" s="11" t="n">
        <f aca="false">D538*I538</f>
        <v>1680007.04352442</v>
      </c>
      <c r="K538" s="7" t="n">
        <f aca="false">Parâmetros!$B$4+Parâmetros!$B$5*F538</f>
        <v>0.02</v>
      </c>
      <c r="L538" s="11" t="n">
        <f aca="false">D538*(1+G538)</f>
        <v>5716.35665249423</v>
      </c>
      <c r="M538" s="14" t="n">
        <v>0</v>
      </c>
      <c r="N538" s="4" t="n">
        <v>0.964705882352941</v>
      </c>
      <c r="O538" s="3" t="str">
        <f aca="false">IF(AND(B538=4,M538=1),IF(N538&lt;0.8,"Subgrupo 7 dias; fronteira de cluster","Subgrupo 7 dias"),IF(N538&lt;0.8,"Fronteira de cluster",""))</f>
        <v/>
      </c>
    </row>
    <row r="539" customFormat="false" ht="15" hidden="false" customHeight="false" outlineLevel="0" collapsed="false">
      <c r="A539" s="14" t="n">
        <v>538</v>
      </c>
      <c r="B539" s="14" t="n">
        <v>0</v>
      </c>
      <c r="C539" s="14" t="s">
        <v>29</v>
      </c>
      <c r="D539" s="15" t="n">
        <v>3859.02423469388</v>
      </c>
      <c r="E539" s="16" t="n">
        <f aca="false">INDEX(Parâmetros!$C$33:$C$37,MATCH(B539,Parâmetros!$A$33:$A$37,0))</f>
        <v>5476.37033462034</v>
      </c>
      <c r="F539" s="7" t="n">
        <f aca="false">MAX(0,(E539-D539)/D539)</f>
        <v>0.419107526038834</v>
      </c>
      <c r="G539" s="7" t="n">
        <f aca="false">MIN(K539*Parâmetros!$B$19,Parâmetros!$B$8)</f>
        <v>0.152251715075995</v>
      </c>
      <c r="H539" s="3" t="str">
        <f aca="false">IF(F539&gt;=Parâmetros!$B$6,"Ação","Acompanhamento")</f>
        <v>Ação</v>
      </c>
      <c r="I539" s="17" t="n">
        <v>303.779193205945</v>
      </c>
      <c r="J539" s="11" t="n">
        <f aca="false">D539*I539</f>
        <v>1172291.2685775</v>
      </c>
      <c r="K539" s="7" t="n">
        <f aca="false">Parâmetros!$B$4+Parâmetros!$B$5*F539</f>
        <v>0.124776881509709</v>
      </c>
      <c r="L539" s="11" t="n">
        <f aca="false">D539*(1+G539)</f>
        <v>4446.56729294585</v>
      </c>
      <c r="M539" s="14" t="n">
        <v>0</v>
      </c>
      <c r="N539" s="4" t="n">
        <v>1</v>
      </c>
      <c r="O539" s="3" t="str">
        <f aca="false">IF(AND(B539=4,M539=1),IF(N539&lt;0.8,"Subgrupo 7 dias; fronteira de cluster","Subgrupo 7 dias"),IF(N539&lt;0.8,"Fronteira de cluster",""))</f>
        <v/>
      </c>
    </row>
    <row r="540" customFormat="false" ht="15" hidden="false" customHeight="false" outlineLevel="0" collapsed="false">
      <c r="A540" s="14" t="n">
        <v>539</v>
      </c>
      <c r="B540" s="14" t="n">
        <v>4</v>
      </c>
      <c r="C540" s="14" t="s">
        <v>33</v>
      </c>
      <c r="D540" s="15" t="n">
        <v>11310.963022508</v>
      </c>
      <c r="E540" s="16" t="n">
        <f aca="false">INDEX(Parâmetros!$C$33:$C$37,MATCH(B540,Parâmetros!$A$33:$A$37,0))</f>
        <v>8837.10512820513</v>
      </c>
      <c r="F540" s="7" t="n">
        <f aca="false">MAX(0,(E540-D540)/D540)</f>
        <v>0</v>
      </c>
      <c r="G540" s="7" t="n">
        <f aca="false">MIN(K540*Parâmetros!$B$19,Parâmetros!$B$8)</f>
        <v>0.0244038339849275</v>
      </c>
      <c r="H540" s="3" t="str">
        <f aca="false">IF(F540&gt;=Parâmetros!$B$6,"Ação","Acompanhamento")</f>
        <v>Acompanhamento</v>
      </c>
      <c r="I540" s="17" t="n">
        <v>299.511873350924</v>
      </c>
      <c r="J540" s="11" t="n">
        <f aca="false">D540*I540</f>
        <v>3387767.72427441</v>
      </c>
      <c r="K540" s="7" t="n">
        <f aca="false">Parâmetros!$B$4+Parâmetros!$B$5*F540</f>
        <v>0.02</v>
      </c>
      <c r="L540" s="11" t="n">
        <f aca="false">D540*(1+G540)</f>
        <v>11586.993886319</v>
      </c>
      <c r="M540" s="14" t="n">
        <v>0</v>
      </c>
      <c r="N540" s="4" t="n">
        <v>1</v>
      </c>
      <c r="O540" s="3" t="str">
        <f aca="false">IF(AND(B540=4,M540=1),IF(N540&lt;0.8,"Subgrupo 7 dias; fronteira de cluster","Subgrupo 7 dias"),IF(N540&lt;0.8,"Fronteira de cluster",""))</f>
        <v/>
      </c>
    </row>
    <row r="541" customFormat="false" ht="15" hidden="false" customHeight="false" outlineLevel="0" collapsed="false">
      <c r="A541" s="14" t="n">
        <v>540</v>
      </c>
      <c r="B541" s="14" t="n">
        <v>1</v>
      </c>
      <c r="C541" s="14" t="s">
        <v>30</v>
      </c>
      <c r="D541" s="15" t="n">
        <v>5648.99035369775</v>
      </c>
      <c r="E541" s="16" t="n">
        <f aca="false">INDEX(Parâmetros!$C$33:$C$37,MATCH(B541,Parâmetros!$A$33:$A$37,0))</f>
        <v>6959.92435130262</v>
      </c>
      <c r="F541" s="7" t="n">
        <f aca="false">MAX(0,(E541-D541)/D541)</f>
        <v>0.232065186081749</v>
      </c>
      <c r="G541" s="7" t="n">
        <f aca="false">MIN(K541*Parâmetros!$B$19,Parâmetros!$B$8)</f>
        <v>0.0951948374201811</v>
      </c>
      <c r="H541" s="3" t="str">
        <f aca="false">IF(F541&gt;=Parâmetros!$B$6,"Ação","Acompanhamento")</f>
        <v>Ação</v>
      </c>
      <c r="I541" s="17" t="n">
        <v>299.511873350924</v>
      </c>
      <c r="J541" s="11" t="n">
        <f aca="false">D541*I541</f>
        <v>1691939.68337731</v>
      </c>
      <c r="K541" s="7" t="n">
        <f aca="false">Parâmetros!$B$4+Parâmetros!$B$5*F541</f>
        <v>0.0780162965204372</v>
      </c>
      <c r="L541" s="11" t="n">
        <f aca="false">D541*(1+G541)</f>
        <v>6186.74507200618</v>
      </c>
      <c r="M541" s="14" t="n">
        <v>0</v>
      </c>
      <c r="N541" s="4" t="n">
        <v>1</v>
      </c>
      <c r="O541" s="3" t="str">
        <f aca="false">IF(AND(B541=4,M541=1),IF(N541&lt;0.8,"Subgrupo 7 dias; fronteira de cluster","Subgrupo 7 dias"),IF(N541&lt;0.8,"Fronteira de cluster",""))</f>
        <v/>
      </c>
    </row>
    <row r="542" customFormat="false" ht="15" hidden="false" customHeight="false" outlineLevel="0" collapsed="false">
      <c r="A542" s="14" t="n">
        <v>541</v>
      </c>
      <c r="B542" s="14" t="n">
        <v>2</v>
      </c>
      <c r="C542" s="14" t="s">
        <v>31</v>
      </c>
      <c r="D542" s="15" t="n">
        <v>6720.81258023107</v>
      </c>
      <c r="E542" s="16" t="n">
        <f aca="false">INDEX(Parâmetros!$C$33:$C$37,MATCH(B542,Parâmetros!$A$33:$A$37,0))</f>
        <v>6324.80102695764</v>
      </c>
      <c r="F542" s="7" t="n">
        <f aca="false">MAX(0,(E542-D542)/D542)</f>
        <v>0</v>
      </c>
      <c r="G542" s="7" t="n">
        <f aca="false">MIN(K542*Parâmetros!$B$19,Parâmetros!$B$8)</f>
        <v>0.0244038339849275</v>
      </c>
      <c r="H542" s="3" t="str">
        <f aca="false">IF(F542&gt;=Parâmetros!$B$6,"Ação","Acompanhamento")</f>
        <v>Acompanhamento</v>
      </c>
      <c r="I542" s="17" t="n">
        <v>301.841825902336</v>
      </c>
      <c r="J542" s="11" t="n">
        <f aca="false">D542*I542</f>
        <v>2028622.34076433</v>
      </c>
      <c r="K542" s="7" t="n">
        <f aca="false">Parâmetros!$B$4+Parâmetros!$B$5*F542</f>
        <v>0.02</v>
      </c>
      <c r="L542" s="11" t="n">
        <f aca="false">D542*(1+G542)</f>
        <v>6884.82617468284</v>
      </c>
      <c r="M542" s="14" t="n">
        <v>0</v>
      </c>
      <c r="N542" s="4" t="n">
        <v>1</v>
      </c>
      <c r="O542" s="3" t="str">
        <f aca="false">IF(AND(B542=4,M542=1),IF(N542&lt;0.8,"Subgrupo 7 dias; fronteira de cluster","Subgrupo 7 dias"),IF(N542&lt;0.8,"Fronteira de cluster",""))</f>
        <v/>
      </c>
    </row>
    <row r="543" customFormat="false" ht="15" hidden="false" customHeight="false" outlineLevel="0" collapsed="false">
      <c r="A543" s="14" t="n">
        <v>542</v>
      </c>
      <c r="B543" s="14" t="n">
        <v>1</v>
      </c>
      <c r="C543" s="14" t="s">
        <v>30</v>
      </c>
      <c r="D543" s="15" t="n">
        <v>6246.64147909968</v>
      </c>
      <c r="E543" s="16" t="n">
        <f aca="false">INDEX(Parâmetros!$C$33:$C$37,MATCH(B543,Parâmetros!$A$33:$A$37,0))</f>
        <v>6959.92435130262</v>
      </c>
      <c r="F543" s="7" t="n">
        <f aca="false">MAX(0,(E543-D543)/D543)</f>
        <v>0.11418661925604</v>
      </c>
      <c r="G543" s="7" t="n">
        <f aca="false">MIN(K543*Parâmetros!$B$19,Parâmetros!$B$8)</f>
        <v>0.059236225230234</v>
      </c>
      <c r="H543" s="3" t="str">
        <f aca="false">IF(F543&gt;=Parâmetros!$B$6,"Ação","Acompanhamento")</f>
        <v>Ação</v>
      </c>
      <c r="I543" s="17" t="n">
        <v>299.511873350924</v>
      </c>
      <c r="J543" s="11" t="n">
        <f aca="false">D543*I543</f>
        <v>1870943.29155673</v>
      </c>
      <c r="K543" s="7" t="n">
        <f aca="false">Parâmetros!$B$4+Parâmetros!$B$5*F543</f>
        <v>0.04854665481401</v>
      </c>
      <c r="L543" s="11" t="n">
        <f aca="false">D543*(1+G543)</f>
        <v>6616.66894068815</v>
      </c>
      <c r="M543" s="14" t="n">
        <v>0</v>
      </c>
      <c r="N543" s="4" t="n">
        <v>1</v>
      </c>
      <c r="O543" s="3" t="str">
        <f aca="false">IF(AND(B543=4,M543=1),IF(N543&lt;0.8,"Subgrupo 7 dias; fronteira de cluster","Subgrupo 7 dias"),IF(N543&lt;0.8,"Fronteira de cluster",""))</f>
        <v/>
      </c>
    </row>
    <row r="544" customFormat="false" ht="15" hidden="false" customHeight="false" outlineLevel="0" collapsed="false">
      <c r="A544" s="14" t="n">
        <v>543</v>
      </c>
      <c r="B544" s="14" t="n">
        <v>3</v>
      </c>
      <c r="C544" s="14" t="s">
        <v>32</v>
      </c>
      <c r="D544" s="15" t="n">
        <v>2790.38028169014</v>
      </c>
      <c r="E544" s="16" t="n">
        <f aca="false">INDEX(Parâmetros!$C$33:$C$37,MATCH(B544,Parâmetros!$A$33:$A$37,0))</f>
        <v>5909.24487179487</v>
      </c>
      <c r="F544" s="7" t="n">
        <f aca="false">MAX(0,(E544-D544)/D544)</f>
        <v>1.11772026578959</v>
      </c>
      <c r="G544" s="7" t="n">
        <f aca="false">MIN(K544*Parâmetros!$B$19,Parâmetros!$B$8)</f>
        <v>0.2</v>
      </c>
      <c r="H544" s="3" t="str">
        <f aca="false">IF(F544&gt;=Parâmetros!$B$6,"Ação","Acompanhamento")</f>
        <v>Ação</v>
      </c>
      <c r="I544" s="17" t="n">
        <v>302.616772823779</v>
      </c>
      <c r="J544" s="11" t="n">
        <f aca="false">D544*I544</f>
        <v>844415.875796178</v>
      </c>
      <c r="K544" s="7" t="n">
        <f aca="false">Parâmetros!$B$4+Parâmetros!$B$5*F544</f>
        <v>0.299430066447397</v>
      </c>
      <c r="L544" s="11" t="n">
        <f aca="false">D544*(1+G544)</f>
        <v>3348.45633802817</v>
      </c>
      <c r="M544" s="14" t="n">
        <v>0</v>
      </c>
      <c r="N544" s="4" t="n">
        <v>1</v>
      </c>
      <c r="O544" s="3" t="str">
        <f aca="false">IF(AND(B544=4,M544=1),IF(N544&lt;0.8,"Subgrupo 7 dias; fronteira de cluster","Subgrupo 7 dias"),IF(N544&lt;0.8,"Fronteira de cluster",""))</f>
        <v/>
      </c>
    </row>
    <row r="545" customFormat="false" ht="15" hidden="false" customHeight="false" outlineLevel="0" collapsed="false">
      <c r="A545" s="14" t="n">
        <v>544</v>
      </c>
      <c r="B545" s="14" t="n">
        <v>4</v>
      </c>
      <c r="C545" s="14" t="s">
        <v>33</v>
      </c>
      <c r="D545" s="15" t="n">
        <v>14094.4987179487</v>
      </c>
      <c r="E545" s="16" t="n">
        <f aca="false">INDEX(Parâmetros!$C$33:$C$37,MATCH(B545,Parâmetros!$A$33:$A$37,0))</f>
        <v>8837.10512820513</v>
      </c>
      <c r="F545" s="7" t="n">
        <f aca="false">MAX(0,(E545-D545)/D545)</f>
        <v>0</v>
      </c>
      <c r="G545" s="7" t="n">
        <f aca="false">MIN(K545*Parâmetros!$B$19,Parâmetros!$B$8)</f>
        <v>0.0244038339849275</v>
      </c>
      <c r="H545" s="3" t="str">
        <f aca="false">IF(F545&gt;=Parâmetros!$B$6,"Ação","Acompanhamento")</f>
        <v>Acompanhamento</v>
      </c>
      <c r="I545" s="17" t="n">
        <v>302.229299363057</v>
      </c>
      <c r="J545" s="11" t="n">
        <f aca="false">D545*I545</f>
        <v>4259770.47239915</v>
      </c>
      <c r="K545" s="7" t="n">
        <f aca="false">Parâmetros!$B$4+Parâmetros!$B$5*F545</f>
        <v>0.02</v>
      </c>
      <c r="L545" s="11" t="n">
        <f aca="false">D545*(1+G545)</f>
        <v>14438.4585247623</v>
      </c>
      <c r="M545" s="14" t="n">
        <v>0</v>
      </c>
      <c r="N545" s="4" t="n">
        <v>0.948051948051948</v>
      </c>
      <c r="O545" s="3" t="str">
        <f aca="false">IF(AND(B545=4,M545=1),IF(N545&lt;0.8,"Subgrupo 7 dias; fronteira de cluster","Subgrupo 7 dias"),IF(N545&lt;0.8,"Fronteira de cluster",""))</f>
        <v/>
      </c>
    </row>
    <row r="546" customFormat="false" ht="15" hidden="false" customHeight="false" outlineLevel="0" collapsed="false">
      <c r="A546" s="14" t="n">
        <v>545</v>
      </c>
      <c r="B546" s="14" t="n">
        <v>1</v>
      </c>
      <c r="C546" s="14" t="s">
        <v>30</v>
      </c>
      <c r="D546" s="15" t="n">
        <v>10635.2567394095</v>
      </c>
      <c r="E546" s="16" t="n">
        <f aca="false">INDEX(Parâmetros!$C$33:$C$37,MATCH(B546,Parâmetros!$A$33:$A$37,0))</f>
        <v>6959.92435130262</v>
      </c>
      <c r="F546" s="7" t="n">
        <f aca="false">MAX(0,(E546-D546)/D546)</f>
        <v>0</v>
      </c>
      <c r="G546" s="7" t="n">
        <f aca="false">MIN(K546*Parâmetros!$B$19,Parâmetros!$B$8)</f>
        <v>0.0244038339849275</v>
      </c>
      <c r="H546" s="3" t="str">
        <f aca="false">IF(F546&gt;=Parâmetros!$B$6,"Ação","Acompanhamento")</f>
        <v>Acompanhamento</v>
      </c>
      <c r="I546" s="17" t="n">
        <v>301.841825902336</v>
      </c>
      <c r="J546" s="11" t="n">
        <f aca="false">D546*I546</f>
        <v>3210165.31316348</v>
      </c>
      <c r="K546" s="7" t="n">
        <f aca="false">Parâmetros!$B$4+Parâmetros!$B$5*F546</f>
        <v>0.02</v>
      </c>
      <c r="L546" s="11" t="n">
        <f aca="false">D546*(1+G546)</f>
        <v>10894.7977792651</v>
      </c>
      <c r="M546" s="14" t="n">
        <v>0</v>
      </c>
      <c r="N546" s="4" t="n">
        <v>1</v>
      </c>
      <c r="O546" s="3" t="str">
        <f aca="false">IF(AND(B546=4,M546=1),IF(N546&lt;0.8,"Subgrupo 7 dias; fronteira de cluster","Subgrupo 7 dias"),IF(N546&lt;0.8,"Fronteira de cluster",""))</f>
        <v/>
      </c>
    </row>
    <row r="547" customFormat="false" ht="15" hidden="false" customHeight="false" outlineLevel="0" collapsed="false">
      <c r="A547" s="14" t="n">
        <v>546</v>
      </c>
      <c r="B547" s="14" t="n">
        <v>4</v>
      </c>
      <c r="C547" s="14" t="s">
        <v>33</v>
      </c>
      <c r="D547" s="15" t="n">
        <v>13681.5344387755</v>
      </c>
      <c r="E547" s="16" t="n">
        <f aca="false">INDEX(Parâmetros!$C$33:$C$37,MATCH(B547,Parâmetros!$A$33:$A$37,0))</f>
        <v>8837.10512820513</v>
      </c>
      <c r="F547" s="7" t="n">
        <f aca="false">MAX(0,(E547-D547)/D547)</f>
        <v>0</v>
      </c>
      <c r="G547" s="7" t="n">
        <f aca="false">MIN(K547*Parâmetros!$B$19,Parâmetros!$B$8)</f>
        <v>0.0244038339849275</v>
      </c>
      <c r="H547" s="3" t="str">
        <f aca="false">IF(F547&gt;=Parâmetros!$B$6,"Ação","Acompanhamento")</f>
        <v>Acompanhamento</v>
      </c>
      <c r="I547" s="17" t="n">
        <v>303.779193205945</v>
      </c>
      <c r="J547" s="11" t="n">
        <f aca="false">D547*I547</f>
        <v>4156165.49363057</v>
      </c>
      <c r="K547" s="7" t="n">
        <f aca="false">Parâmetros!$B$4+Parâmetros!$B$5*F547</f>
        <v>0.02</v>
      </c>
      <c r="L547" s="11" t="n">
        <f aca="false">D547*(1+G547)</f>
        <v>14015.4163338785</v>
      </c>
      <c r="M547" s="14" t="n">
        <v>0</v>
      </c>
      <c r="N547" s="4" t="n">
        <v>1</v>
      </c>
      <c r="O547" s="3" t="str">
        <f aca="false">IF(AND(B547=4,M547=1),IF(N547&lt;0.8,"Subgrupo 7 dias; fronteira de cluster","Subgrupo 7 dias"),IF(N547&lt;0.8,"Fronteira de cluster",""))</f>
        <v/>
      </c>
    </row>
    <row r="548" customFormat="false" ht="15" hidden="false" customHeight="false" outlineLevel="0" collapsed="false">
      <c r="A548" s="14" t="n">
        <v>547</v>
      </c>
      <c r="B548" s="14" t="n">
        <v>1</v>
      </c>
      <c r="C548" s="14" t="s">
        <v>30</v>
      </c>
      <c r="D548" s="15" t="n">
        <v>5752.49035369775</v>
      </c>
      <c r="E548" s="16" t="n">
        <f aca="false">INDEX(Parâmetros!$C$33:$C$37,MATCH(B548,Parâmetros!$A$33:$A$37,0))</f>
        <v>6959.92435130262</v>
      </c>
      <c r="F548" s="7" t="n">
        <f aca="false">MAX(0,(E548-D548)/D548)</f>
        <v>0.209897613618548</v>
      </c>
      <c r="G548" s="7" t="n">
        <f aca="false">MIN(K548*Parâmetros!$B$19,Parâmetros!$B$8)</f>
        <v>0.088432665442171</v>
      </c>
      <c r="H548" s="3" t="str">
        <f aca="false">IF(F548&gt;=Parâmetros!$B$6,"Ação","Acompanhamento")</f>
        <v>Ação</v>
      </c>
      <c r="I548" s="17" t="n">
        <v>299.511873350924</v>
      </c>
      <c r="J548" s="11" t="n">
        <f aca="false">D548*I548</f>
        <v>1722939.16226913</v>
      </c>
      <c r="K548" s="7" t="n">
        <f aca="false">Parâmetros!$B$4+Parâmetros!$B$5*F548</f>
        <v>0.0724744034046369</v>
      </c>
      <c r="L548" s="11" t="n">
        <f aca="false">D548*(1+G548)</f>
        <v>6261.19840860562</v>
      </c>
      <c r="M548" s="14" t="n">
        <v>0</v>
      </c>
      <c r="N548" s="4" t="n">
        <v>1</v>
      </c>
      <c r="O548" s="3" t="str">
        <f aca="false">IF(AND(B548=4,M548=1),IF(N548&lt;0.8,"Subgrupo 7 dias; fronteira de cluster","Subgrupo 7 dias"),IF(N548&lt;0.8,"Fronteira de cluster",""))</f>
        <v/>
      </c>
    </row>
    <row r="549" customFormat="false" ht="15" hidden="false" customHeight="false" outlineLevel="0" collapsed="false">
      <c r="A549" s="14" t="n">
        <v>548</v>
      </c>
      <c r="B549" s="14" t="n">
        <v>3</v>
      </c>
      <c r="C549" s="14" t="s">
        <v>32</v>
      </c>
      <c r="D549" s="15" t="n">
        <v>5073.0234375</v>
      </c>
      <c r="E549" s="16" t="n">
        <f aca="false">INDEX(Parâmetros!$C$33:$C$37,MATCH(B549,Parâmetros!$A$33:$A$37,0))</f>
        <v>5909.24487179487</v>
      </c>
      <c r="F549" s="7" t="n">
        <f aca="false">MAX(0,(E549-D549)/D549)</f>
        <v>0.164836895511558</v>
      </c>
      <c r="G549" s="7" t="n">
        <f aca="false">MIN(K549*Parâmetros!$B$19,Parâmetros!$B$8)</f>
        <v>0.0746869868931136</v>
      </c>
      <c r="H549" s="3" t="str">
        <f aca="false">IF(F549&gt;=Parâmetros!$B$6,"Ação","Acompanhamento")</f>
        <v>Ação</v>
      </c>
      <c r="I549" s="17" t="n">
        <v>297.967091295117</v>
      </c>
      <c r="J549" s="11" t="n">
        <f aca="false">D549*I549</f>
        <v>1511594.03774383</v>
      </c>
      <c r="K549" s="7" t="n">
        <f aca="false">Parâmetros!$B$4+Parâmetros!$B$5*F549</f>
        <v>0.0612092238778895</v>
      </c>
      <c r="L549" s="11" t="n">
        <f aca="false">D549*(1+G549)</f>
        <v>5451.91227248502</v>
      </c>
      <c r="M549" s="14" t="n">
        <v>0</v>
      </c>
      <c r="N549" s="4" t="n">
        <v>0.623529411764706</v>
      </c>
      <c r="O549" s="3" t="str">
        <f aca="false">IF(AND(B549=4,M549=1),IF(N549&lt;0.8,"Subgrupo 7 dias; fronteira de cluster","Subgrupo 7 dias"),IF(N549&lt;0.8,"Fronteira de cluster",""))</f>
        <v>Fronteira de cluster</v>
      </c>
    </row>
    <row r="550" customFormat="false" ht="15" hidden="false" customHeight="false" outlineLevel="0" collapsed="false">
      <c r="A550" s="14" t="n">
        <v>549</v>
      </c>
      <c r="B550" s="14" t="n">
        <v>0</v>
      </c>
      <c r="C550" s="14" t="s">
        <v>29</v>
      </c>
      <c r="D550" s="15" t="n">
        <v>4642.71683673469</v>
      </c>
      <c r="E550" s="16" t="n">
        <f aca="false">INDEX(Parâmetros!$C$33:$C$37,MATCH(B550,Parâmetros!$A$33:$A$37,0))</f>
        <v>5476.37033462034</v>
      </c>
      <c r="F550" s="7" t="n">
        <f aca="false">MAX(0,(E550-D550)/D550)</f>
        <v>0.179561564317148</v>
      </c>
      <c r="G550" s="7" t="n">
        <f aca="false">MIN(K550*Parâmetros!$B$19,Parâmetros!$B$8)</f>
        <v>0.0791787165557967</v>
      </c>
      <c r="H550" s="3" t="str">
        <f aca="false">IF(F550&gt;=Parâmetros!$B$6,"Ação","Acompanhamento")</f>
        <v>Ação</v>
      </c>
      <c r="I550" s="17" t="n">
        <v>303.779193205945</v>
      </c>
      <c r="J550" s="11" t="n">
        <f aca="false">D550*I550</f>
        <v>1410360.77494692</v>
      </c>
      <c r="K550" s="7" t="n">
        <f aca="false">Parâmetros!$B$4+Parâmetros!$B$5*F550</f>
        <v>0.0648903910792869</v>
      </c>
      <c r="L550" s="11" t="n">
        <f aca="false">D550*(1+G550)</f>
        <v>5010.32119719934</v>
      </c>
      <c r="M550" s="14" t="n">
        <v>0</v>
      </c>
      <c r="N550" s="4" t="n">
        <v>0.730769230769231</v>
      </c>
      <c r="O550" s="3" t="str">
        <f aca="false">IF(AND(B550=4,M550=1),IF(N550&lt;0.8,"Subgrupo 7 dias; fronteira de cluster","Subgrupo 7 dias"),IF(N550&lt;0.8,"Fronteira de cluster",""))</f>
        <v>Fronteira de cluster</v>
      </c>
    </row>
    <row r="551" customFormat="false" ht="15" hidden="false" customHeight="false" outlineLevel="0" collapsed="false">
      <c r="A551" s="14" t="n">
        <v>550</v>
      </c>
      <c r="B551" s="14" t="n">
        <v>0</v>
      </c>
      <c r="C551" s="14" t="s">
        <v>29</v>
      </c>
      <c r="D551" s="15" t="n">
        <v>5973.62740076825</v>
      </c>
      <c r="E551" s="16" t="n">
        <f aca="false">INDEX(Parâmetros!$C$33:$C$37,MATCH(B551,Parâmetros!$A$33:$A$37,0))</f>
        <v>5476.37033462034</v>
      </c>
      <c r="F551" s="7" t="n">
        <f aca="false">MAX(0,(E551-D551)/D551)</f>
        <v>0</v>
      </c>
      <c r="G551" s="7" t="n">
        <f aca="false">MIN(K551*Parâmetros!$B$19,Parâmetros!$B$8)</f>
        <v>0.0244038339849275</v>
      </c>
      <c r="H551" s="3" t="str">
        <f aca="false">IF(F551&gt;=Parâmetros!$B$6,"Ação","Acompanhamento")</f>
        <v>Acompanhamento</v>
      </c>
      <c r="I551" s="17" t="n">
        <v>302.616772823779</v>
      </c>
      <c r="J551" s="11" t="n">
        <f aca="false">D551*I551</f>
        <v>1807719.84607219</v>
      </c>
      <c r="K551" s="7" t="n">
        <f aca="false">Parâmetros!$B$4+Parâmetros!$B$5*F551</f>
        <v>0.02</v>
      </c>
      <c r="L551" s="11" t="n">
        <f aca="false">D551*(1+G551)</f>
        <v>6119.40681214441</v>
      </c>
      <c r="M551" s="14" t="n">
        <v>0</v>
      </c>
      <c r="N551" s="4" t="n">
        <v>0.831325301204819</v>
      </c>
      <c r="O551" s="3" t="str">
        <f aca="false">IF(AND(B551=4,M551=1),IF(N551&lt;0.8,"Subgrupo 7 dias; fronteira de cluster","Subgrupo 7 dias"),IF(N551&lt;0.8,"Fronteira de cluster",""))</f>
        <v/>
      </c>
    </row>
    <row r="552" customFormat="false" ht="15" hidden="false" customHeight="false" outlineLevel="0" collapsed="false">
      <c r="A552" s="14" t="n">
        <v>551</v>
      </c>
      <c r="B552" s="14" t="n">
        <v>4</v>
      </c>
      <c r="C552" s="14" t="s">
        <v>33</v>
      </c>
      <c r="D552" s="15" t="n">
        <v>6559.37882653061</v>
      </c>
      <c r="E552" s="16" t="n">
        <f aca="false">INDEX(Parâmetros!$C$33:$C$37,MATCH(B552,Parâmetros!$A$33:$A$37,0))</f>
        <v>8837.10512820513</v>
      </c>
      <c r="F552" s="7" t="n">
        <f aca="false">MAX(0,(E552-D552)/D552)</f>
        <v>0.347247256472188</v>
      </c>
      <c r="G552" s="7" t="n">
        <f aca="false">MIN(K552*Parâmetros!$B$19,Parâmetros!$B$8)</f>
        <v>0.130330888968288</v>
      </c>
      <c r="H552" s="3" t="str">
        <f aca="false">IF(F552&gt;=Parâmetros!$B$6,"Ação","Acompanhamento")</f>
        <v>Ação</v>
      </c>
      <c r="I552" s="17" t="n">
        <v>303.779193205945</v>
      </c>
      <c r="J552" s="11" t="n">
        <f aca="false">D552*I552</f>
        <v>1992602.80785563</v>
      </c>
      <c r="K552" s="7" t="n">
        <f aca="false">Parâmetros!$B$4+Parâmetros!$B$5*F552</f>
        <v>0.106811814118047</v>
      </c>
      <c r="L552" s="11" t="n">
        <f aca="false">D552*(1+G552)</f>
        <v>7414.26850007211</v>
      </c>
      <c r="M552" s="14" t="n">
        <v>0</v>
      </c>
      <c r="N552" s="4" t="n">
        <v>0.728395061728395</v>
      </c>
      <c r="O552" s="3" t="str">
        <f aca="false">IF(AND(B552=4,M552=1),IF(N552&lt;0.8,"Subgrupo 7 dias; fronteira de cluster","Subgrupo 7 dias"),IF(N552&lt;0.8,"Fronteira de cluster",""))</f>
        <v>Fronteira de cluster</v>
      </c>
    </row>
    <row r="553" customFormat="false" ht="15" hidden="false" customHeight="false" outlineLevel="0" collapsed="false">
      <c r="A553" s="14" t="n">
        <v>552</v>
      </c>
      <c r="B553" s="14" t="n">
        <v>3</v>
      </c>
      <c r="C553" s="14" t="s">
        <v>32</v>
      </c>
      <c r="D553" s="15" t="n">
        <v>7721.86683738797</v>
      </c>
      <c r="E553" s="16" t="n">
        <f aca="false">INDEX(Parâmetros!$C$33:$C$37,MATCH(B553,Parâmetros!$A$33:$A$37,0))</f>
        <v>5909.24487179487</v>
      </c>
      <c r="F553" s="7" t="n">
        <f aca="false">MAX(0,(E553-D553)/D553)</f>
        <v>0</v>
      </c>
      <c r="G553" s="7" t="n">
        <f aca="false">MIN(K553*Parâmetros!$B$19,Parâmetros!$B$8)</f>
        <v>0.0244038339849275</v>
      </c>
      <c r="H553" s="3" t="str">
        <f aca="false">IF(F553&gt;=Parâmetros!$B$6,"Ação","Acompanhamento")</f>
        <v>Acompanhamento</v>
      </c>
      <c r="I553" s="17" t="n">
        <v>302.616772823779</v>
      </c>
      <c r="J553" s="11" t="n">
        <f aca="false">D553*I553</f>
        <v>2336766.42250531</v>
      </c>
      <c r="K553" s="7" t="n">
        <f aca="false">Parâmetros!$B$4+Parâmetros!$B$5*F553</f>
        <v>0.02</v>
      </c>
      <c r="L553" s="11" t="n">
        <f aca="false">D553*(1+G553)</f>
        <v>7910.3099937413</v>
      </c>
      <c r="M553" s="14" t="n">
        <v>0</v>
      </c>
      <c r="N553" s="4" t="n">
        <v>1</v>
      </c>
      <c r="O553" s="3" t="str">
        <f aca="false">IF(AND(B553=4,M553=1),IF(N553&lt;0.8,"Subgrupo 7 dias; fronteira de cluster","Subgrupo 7 dias"),IF(N553&lt;0.8,"Fronteira de cluster",""))</f>
        <v/>
      </c>
    </row>
    <row r="554" customFormat="false" ht="15" hidden="false" customHeight="false" outlineLevel="0" collapsed="false">
      <c r="A554" s="14" t="n">
        <v>553</v>
      </c>
      <c r="B554" s="14" t="n">
        <v>1</v>
      </c>
      <c r="C554" s="14" t="s">
        <v>30</v>
      </c>
      <c r="D554" s="15" t="n">
        <v>7038.59845559846</v>
      </c>
      <c r="E554" s="16" t="n">
        <f aca="false">INDEX(Parâmetros!$C$33:$C$37,MATCH(B554,Parâmetros!$A$33:$A$37,0))</f>
        <v>6959.92435130262</v>
      </c>
      <c r="F554" s="7" t="n">
        <f aca="false">MAX(0,(E554-D554)/D554)</f>
        <v>0</v>
      </c>
      <c r="G554" s="7" t="n">
        <f aca="false">MIN(K554*Parâmetros!$B$19,Parâmetros!$B$8)</f>
        <v>0.0244038339849275</v>
      </c>
      <c r="H554" s="3" t="str">
        <f aca="false">IF(F554&gt;=Parâmetros!$B$6,"Ação","Acompanhamento")</f>
        <v>Acompanhamento</v>
      </c>
      <c r="I554" s="17" t="n">
        <v>301.066878980892</v>
      </c>
      <c r="J554" s="11" t="n">
        <f aca="false">D554*I554</f>
        <v>2119088.86942675</v>
      </c>
      <c r="K554" s="7" t="n">
        <f aca="false">Parâmetros!$B$4+Parâmetros!$B$5*F554</f>
        <v>0.02</v>
      </c>
      <c r="L554" s="11" t="n">
        <f aca="false">D554*(1+G554)</f>
        <v>7210.36724379545</v>
      </c>
      <c r="M554" s="14" t="n">
        <v>0</v>
      </c>
      <c r="N554" s="4" t="n">
        <v>1</v>
      </c>
      <c r="O554" s="3" t="str">
        <f aca="false">IF(AND(B554=4,M554=1),IF(N554&lt;0.8,"Subgrupo 7 dias; fronteira de cluster","Subgrupo 7 dias"),IF(N554&lt;0.8,"Fronteira de cluster",""))</f>
        <v/>
      </c>
    </row>
    <row r="555" customFormat="false" ht="15" hidden="false" customHeight="false" outlineLevel="0" collapsed="false">
      <c r="A555" s="14" t="n">
        <v>554</v>
      </c>
      <c r="B555" s="14" t="n">
        <v>0</v>
      </c>
      <c r="C555" s="14" t="s">
        <v>29</v>
      </c>
      <c r="D555" s="15" t="n">
        <v>4481.01403061225</v>
      </c>
      <c r="E555" s="16" t="n">
        <f aca="false">INDEX(Parâmetros!$C$33:$C$37,MATCH(B555,Parâmetros!$A$33:$A$37,0))</f>
        <v>5476.37033462034</v>
      </c>
      <c r="F555" s="7" t="n">
        <f aca="false">MAX(0,(E555-D555)/D555)</f>
        <v>0.222127468739948</v>
      </c>
      <c r="G555" s="7" t="n">
        <f aca="false">MIN(K555*Parâmetros!$B$19,Parâmetros!$B$8)</f>
        <v>0.0921633573677006</v>
      </c>
      <c r="H555" s="3" t="str">
        <f aca="false">IF(F555&gt;=Parâmetros!$B$6,"Ação","Acompanhamento")</f>
        <v>Ação</v>
      </c>
      <c r="I555" s="17" t="n">
        <v>303.779193205945</v>
      </c>
      <c r="J555" s="11" t="n">
        <f aca="false">D555*I555</f>
        <v>1361238.82696391</v>
      </c>
      <c r="K555" s="7" t="n">
        <f aca="false">Parâmetros!$B$4+Parâmetros!$B$5*F555</f>
        <v>0.075531867184987</v>
      </c>
      <c r="L555" s="11" t="n">
        <f aca="false">D555*(1+G555)</f>
        <v>4893.99932808524</v>
      </c>
      <c r="M555" s="14" t="n">
        <v>0</v>
      </c>
      <c r="N555" s="4" t="n">
        <v>0.736111111111111</v>
      </c>
      <c r="O555" s="3" t="str">
        <f aca="false">IF(AND(B555=4,M555=1),IF(N555&lt;0.8,"Subgrupo 7 dias; fronteira de cluster","Subgrupo 7 dias"),IF(N555&lt;0.8,"Fronteira de cluster",""))</f>
        <v>Fronteira de cluster</v>
      </c>
    </row>
    <row r="556" customFormat="false" ht="15" hidden="false" customHeight="false" outlineLevel="0" collapsed="false">
      <c r="A556" s="14" t="n">
        <v>555</v>
      </c>
      <c r="B556" s="14" t="n">
        <v>1</v>
      </c>
      <c r="C556" s="14" t="s">
        <v>30</v>
      </c>
      <c r="D556" s="15" t="n">
        <v>5173.86035313002</v>
      </c>
      <c r="E556" s="16" t="n">
        <f aca="false">INDEX(Parâmetros!$C$33:$C$37,MATCH(B556,Parâmetros!$A$33:$A$37,0))</f>
        <v>6959.92435130262</v>
      </c>
      <c r="F556" s="7" t="n">
        <f aca="false">MAX(0,(E556-D556)/D556)</f>
        <v>0.34520916226355</v>
      </c>
      <c r="G556" s="7" t="n">
        <f aca="false">MIN(K556*Parâmetros!$B$19,Parâmetros!$B$8)</f>
        <v>0.129709172559372</v>
      </c>
      <c r="H556" s="3" t="str">
        <f aca="false">IF(F556&gt;=Parâmetros!$B$6,"Ação","Acompanhamento")</f>
        <v>Ação</v>
      </c>
      <c r="I556" s="17" t="n">
        <v>299.993403693931</v>
      </c>
      <c r="J556" s="11" t="n">
        <f aca="false">D556*I556</f>
        <v>1552123.97757256</v>
      </c>
      <c r="K556" s="7" t="n">
        <f aca="false">Parâmetros!$B$4+Parâmetros!$B$5*F556</f>
        <v>0.106302290565887</v>
      </c>
      <c r="L556" s="11" t="n">
        <f aca="false">D556*(1+G556)</f>
        <v>5844.95749847225</v>
      </c>
      <c r="M556" s="14" t="n">
        <v>0</v>
      </c>
      <c r="N556" s="4" t="n">
        <v>1</v>
      </c>
      <c r="O556" s="3" t="str">
        <f aca="false">IF(AND(B556=4,M556=1),IF(N556&lt;0.8,"Subgrupo 7 dias; fronteira de cluster","Subgrupo 7 dias"),IF(N556&lt;0.8,"Fronteira de cluster",""))</f>
        <v/>
      </c>
    </row>
    <row r="557" customFormat="false" ht="15" hidden="false" customHeight="false" outlineLevel="0" collapsed="false">
      <c r="A557" s="14" t="n">
        <v>556</v>
      </c>
      <c r="B557" s="14" t="n">
        <v>0</v>
      </c>
      <c r="C557" s="14" t="s">
        <v>29</v>
      </c>
      <c r="D557" s="15" t="n">
        <v>7178.75351213282</v>
      </c>
      <c r="E557" s="16" t="n">
        <f aca="false">INDEX(Parâmetros!$C$33:$C$37,MATCH(B557,Parâmetros!$A$33:$A$37,0))</f>
        <v>5476.37033462034</v>
      </c>
      <c r="F557" s="7" t="n">
        <f aca="false">MAX(0,(E557-D557)/D557)</f>
        <v>0</v>
      </c>
      <c r="G557" s="7" t="n">
        <f aca="false">MIN(K557*Parâmetros!$B$19,Parâmetros!$B$8)</f>
        <v>0.0244038339849275</v>
      </c>
      <c r="H557" s="3" t="str">
        <f aca="false">IF(F557&gt;=Parâmetros!$B$6,"Ação","Acompanhamento")</f>
        <v>Acompanhamento</v>
      </c>
      <c r="I557" s="17" t="n">
        <v>303.391719745223</v>
      </c>
      <c r="J557" s="11" t="n">
        <f aca="false">D557*I557</f>
        <v>2177974.37367304</v>
      </c>
      <c r="K557" s="7" t="n">
        <f aca="false">Parâmetros!$B$4+Parâmetros!$B$5*F557</f>
        <v>0.02</v>
      </c>
      <c r="L557" s="11" t="n">
        <f aca="false">D557*(1+G557)</f>
        <v>7353.94262106163</v>
      </c>
      <c r="M557" s="14" t="n">
        <v>0</v>
      </c>
      <c r="N557" s="4" t="n">
        <v>1</v>
      </c>
      <c r="O557" s="3" t="str">
        <f aca="false">IF(AND(B557=4,M557=1),IF(N557&lt;0.8,"Subgrupo 7 dias; fronteira de cluster","Subgrupo 7 dias"),IF(N557&lt;0.8,"Fronteira de cluster",""))</f>
        <v/>
      </c>
    </row>
    <row r="558" customFormat="false" ht="15" hidden="false" customHeight="false" outlineLevel="0" collapsed="false">
      <c r="A558" s="14" t="n">
        <v>557</v>
      </c>
      <c r="B558" s="14" t="n">
        <v>0</v>
      </c>
      <c r="C558" s="14" t="s">
        <v>29</v>
      </c>
      <c r="D558" s="15" t="n">
        <v>4383.07969151671</v>
      </c>
      <c r="E558" s="16" t="n">
        <f aca="false">INDEX(Parâmetros!$C$33:$C$37,MATCH(B558,Parâmetros!$A$33:$A$37,0))</f>
        <v>5476.37033462034</v>
      </c>
      <c r="F558" s="7" t="n">
        <f aca="false">MAX(0,(E558-D558)/D558)</f>
        <v>0.249434352110834</v>
      </c>
      <c r="G558" s="7" t="n">
        <f aca="false">MIN(K558*Parâmetros!$B$19,Parâmetros!$B$8)</f>
        <v>0.100493265473062</v>
      </c>
      <c r="H558" s="3" t="str">
        <f aca="false">IF(F558&gt;=Parâmetros!$B$6,"Ação","Acompanhamento")</f>
        <v>Ação</v>
      </c>
      <c r="I558" s="17" t="n">
        <v>301.454352441614</v>
      </c>
      <c r="J558" s="11" t="n">
        <f aca="false">D558*I558</f>
        <v>1321298.45010616</v>
      </c>
      <c r="K558" s="7" t="n">
        <f aca="false">Parâmetros!$B$4+Parâmetros!$B$5*F558</f>
        <v>0.0823585880277086</v>
      </c>
      <c r="L558" s="11" t="n">
        <f aca="false">D558*(1+G558)</f>
        <v>4823.54968254588</v>
      </c>
      <c r="M558" s="14" t="n">
        <v>0</v>
      </c>
      <c r="N558" s="4" t="n">
        <v>0.975903614457831</v>
      </c>
      <c r="O558" s="3" t="str">
        <f aca="false">IF(AND(B558=4,M558=1),IF(N558&lt;0.8,"Subgrupo 7 dias; fronteira de cluster","Subgrupo 7 dias"),IF(N558&lt;0.8,"Fronteira de cluster",""))</f>
        <v/>
      </c>
    </row>
    <row r="559" customFormat="false" ht="15" hidden="false" customHeight="false" outlineLevel="0" collapsed="false">
      <c r="A559" s="14" t="n">
        <v>558</v>
      </c>
      <c r="B559" s="14" t="n">
        <v>0</v>
      </c>
      <c r="C559" s="14" t="s">
        <v>29</v>
      </c>
      <c r="D559" s="15" t="n">
        <v>3241.52423469388</v>
      </c>
      <c r="E559" s="16" t="n">
        <f aca="false">INDEX(Parâmetros!$C$33:$C$37,MATCH(B559,Parâmetros!$A$33:$A$37,0))</f>
        <v>5476.37033462034</v>
      </c>
      <c r="F559" s="7" t="n">
        <f aca="false">MAX(0,(E559-D559)/D559)</f>
        <v>0.6894429713056</v>
      </c>
      <c r="G559" s="7" t="n">
        <f aca="false">MIN(K559*Parâmetros!$B$19,Parâmetros!$B$8)</f>
        <v>0.2</v>
      </c>
      <c r="H559" s="3" t="str">
        <f aca="false">IF(F559&gt;=Parâmetros!$B$6,"Ação","Acompanhamento")</f>
        <v>Ação</v>
      </c>
      <c r="I559" s="17" t="n">
        <v>303.779193205945</v>
      </c>
      <c r="J559" s="11" t="n">
        <f aca="false">D559*I559</f>
        <v>984707.616772824</v>
      </c>
      <c r="K559" s="7" t="n">
        <f aca="false">Parâmetros!$B$4+Parâmetros!$B$5*F559</f>
        <v>0.1923607428264</v>
      </c>
      <c r="L559" s="11" t="n">
        <f aca="false">D559*(1+G559)</f>
        <v>3889.82908163265</v>
      </c>
      <c r="M559" s="14" t="n">
        <v>0</v>
      </c>
      <c r="N559" s="4" t="n">
        <v>1</v>
      </c>
      <c r="O559" s="3" t="str">
        <f aca="false">IF(AND(B559=4,M559=1),IF(N559&lt;0.8,"Subgrupo 7 dias; fronteira de cluster","Subgrupo 7 dias"),IF(N559&lt;0.8,"Fronteira de cluster",""))</f>
        <v/>
      </c>
    </row>
    <row r="560" customFormat="false" ht="15" hidden="false" customHeight="false" outlineLevel="0" collapsed="false">
      <c r="A560" s="14" t="n">
        <v>559</v>
      </c>
      <c r="B560" s="14" t="n">
        <v>3</v>
      </c>
      <c r="C560" s="14" t="s">
        <v>32</v>
      </c>
      <c r="D560" s="15" t="n">
        <v>5882.96153846154</v>
      </c>
      <c r="E560" s="16" t="n">
        <f aca="false">INDEX(Parâmetros!$C$33:$C$37,MATCH(B560,Parâmetros!$A$33:$A$37,0))</f>
        <v>5909.24487179487</v>
      </c>
      <c r="F560" s="7" t="n">
        <f aca="false">MAX(0,(E560-D560)/D560)</f>
        <v>0.00446770443109291</v>
      </c>
      <c r="G560" s="7" t="n">
        <f aca="false">MIN(K560*Parâmetros!$B$19,Parâmetros!$B$8)</f>
        <v>0.0257666979503039</v>
      </c>
      <c r="H560" s="3" t="str">
        <f aca="false">IF(F560&gt;=Parâmetros!$B$6,"Ação","Acompanhamento")</f>
        <v>Acompanhamento</v>
      </c>
      <c r="I560" s="17" t="n">
        <v>302.229299363057</v>
      </c>
      <c r="J560" s="11" t="n">
        <f aca="false">D560*I560</f>
        <v>1778003.34394904</v>
      </c>
      <c r="K560" s="7" t="n">
        <f aca="false">Parâmetros!$B$4+Parâmetros!$B$5*F560</f>
        <v>0.0211169261077732</v>
      </c>
      <c r="L560" s="11" t="n">
        <f aca="false">D560*(1+G560)</f>
        <v>6034.54603147633</v>
      </c>
      <c r="M560" s="14" t="n">
        <v>0</v>
      </c>
      <c r="N560" s="4" t="n">
        <v>0.974683544303797</v>
      </c>
      <c r="O560" s="3" t="str">
        <f aca="false">IF(AND(B560=4,M560=1),IF(N560&lt;0.8,"Subgrupo 7 dias; fronteira de cluster","Subgrupo 7 dias"),IF(N560&lt;0.8,"Fronteira de cluster",""))</f>
        <v/>
      </c>
    </row>
    <row r="561" customFormat="false" ht="15" hidden="false" customHeight="false" outlineLevel="0" collapsed="false">
      <c r="A561" s="14" t="n">
        <v>560</v>
      </c>
      <c r="B561" s="14" t="n">
        <v>4</v>
      </c>
      <c r="C561" s="14" t="s">
        <v>33</v>
      </c>
      <c r="D561" s="15" t="n">
        <v>13612.859437751</v>
      </c>
      <c r="E561" s="16" t="n">
        <f aca="false">INDEX(Parâmetros!$C$33:$C$37,MATCH(B561,Parâmetros!$A$33:$A$37,0))</f>
        <v>8837.10512820513</v>
      </c>
      <c r="F561" s="7" t="n">
        <f aca="false">MAX(0,(E561-D561)/D561)</f>
        <v>0</v>
      </c>
      <c r="G561" s="7" t="n">
        <f aca="false">MIN(K561*Parâmetros!$B$19,Parâmetros!$B$8)</f>
        <v>0.0244038339849275</v>
      </c>
      <c r="H561" s="3" t="str">
        <f aca="false">IF(F561&gt;=Parâmetros!$B$6,"Ação","Acompanhamento")</f>
        <v>Acompanhamento</v>
      </c>
      <c r="I561" s="17" t="n">
        <v>289.442675159236</v>
      </c>
      <c r="J561" s="11" t="n">
        <f aca="false">D561*I561</f>
        <v>3940142.4522293</v>
      </c>
      <c r="K561" s="7" t="n">
        <f aca="false">Parâmetros!$B$4+Parâmetros!$B$5*F561</f>
        <v>0.02</v>
      </c>
      <c r="L561" s="11" t="n">
        <f aca="false">D561*(1+G561)</f>
        <v>13945.06539953</v>
      </c>
      <c r="M561" s="14" t="n">
        <v>0</v>
      </c>
      <c r="N561" s="4" t="n">
        <v>0.973684210526316</v>
      </c>
      <c r="O561" s="3" t="str">
        <f aca="false">IF(AND(B561=4,M561=1),IF(N561&lt;0.8,"Subgrupo 7 dias; fronteira de cluster","Subgrupo 7 dias"),IF(N561&lt;0.8,"Fronteira de cluster",""))</f>
        <v/>
      </c>
    </row>
    <row r="562" customFormat="false" ht="15" hidden="false" customHeight="false" outlineLevel="0" collapsed="false">
      <c r="A562" s="14" t="n">
        <v>561</v>
      </c>
      <c r="B562" s="14" t="n">
        <v>1</v>
      </c>
      <c r="C562" s="14" t="s">
        <v>30</v>
      </c>
      <c r="D562" s="15" t="n">
        <v>6913.82670089859</v>
      </c>
      <c r="E562" s="16" t="n">
        <f aca="false">INDEX(Parâmetros!$C$33:$C$37,MATCH(B562,Parâmetros!$A$33:$A$37,0))</f>
        <v>6959.92435130262</v>
      </c>
      <c r="F562" s="7" t="n">
        <f aca="false">MAX(0,(E562-D562)/D562)</f>
        <v>0.00666745818173926</v>
      </c>
      <c r="G562" s="7" t="n">
        <f aca="false">MIN(K562*Parâmetros!$B$19,Parâmetros!$B$8)</f>
        <v>0.0264377282670351</v>
      </c>
      <c r="H562" s="3" t="str">
        <f aca="false">IF(F562&gt;=Parâmetros!$B$6,"Ação","Acompanhamento")</f>
        <v>Acompanhamento</v>
      </c>
      <c r="I562" s="17" t="n">
        <v>301.841825902336</v>
      </c>
      <c r="J562" s="11" t="n">
        <f aca="false">D562*I562</f>
        <v>2086882.07537155</v>
      </c>
      <c r="K562" s="7" t="n">
        <f aca="false">Parâmetros!$B$4+Parâmetros!$B$5*F562</f>
        <v>0.0216668645454348</v>
      </c>
      <c r="L562" s="11" t="n">
        <f aca="false">D562*(1+G562)</f>
        <v>7096.61257250232</v>
      </c>
      <c r="M562" s="14" t="n">
        <v>0</v>
      </c>
      <c r="N562" s="4" t="n">
        <v>1</v>
      </c>
      <c r="O562" s="3" t="str">
        <f aca="false">IF(AND(B562=4,M562=1),IF(N562&lt;0.8,"Subgrupo 7 dias; fronteira de cluster","Subgrupo 7 dias"),IF(N562&lt;0.8,"Fronteira de cluster",""))</f>
        <v/>
      </c>
    </row>
    <row r="563" customFormat="false" ht="15" hidden="false" customHeight="false" outlineLevel="0" collapsed="false">
      <c r="A563" s="14" t="n">
        <v>562</v>
      </c>
      <c r="B563" s="14" t="n">
        <v>4</v>
      </c>
      <c r="C563" s="14" t="s">
        <v>33</v>
      </c>
      <c r="D563" s="15" t="n">
        <v>17969.5562632696</v>
      </c>
      <c r="E563" s="16" t="n">
        <f aca="false">INDEX(Parâmetros!$C$33:$C$37,MATCH(B563,Parâmetros!$A$33:$A$37,0))</f>
        <v>8837.10512820513</v>
      </c>
      <c r="F563" s="7" t="n">
        <f aca="false">MAX(0,(E563-D563)/D563)</f>
        <v>0</v>
      </c>
      <c r="G563" s="7" t="n">
        <f aca="false">MIN(K563*Parâmetros!$B$19,Parâmetros!$B$8)</f>
        <v>0.0244038339849275</v>
      </c>
      <c r="H563" s="3" t="str">
        <f aca="false">IF(F563&gt;=Parâmetros!$B$6,"Ação","Acompanhamento")</f>
        <v>Acompanhamento</v>
      </c>
      <c r="I563" s="17" t="n">
        <v>365</v>
      </c>
      <c r="J563" s="11" t="n">
        <f aca="false">D563*I563</f>
        <v>6558888.03609342</v>
      </c>
      <c r="K563" s="7" t="n">
        <f aca="false">Parâmetros!$B$4+Parâmetros!$B$5*F563</f>
        <v>0.02</v>
      </c>
      <c r="L563" s="11" t="n">
        <f aca="false">D563*(1+G563)</f>
        <v>18408.0823311013</v>
      </c>
      <c r="M563" s="14" t="n">
        <v>1</v>
      </c>
      <c r="N563" s="4" t="n">
        <v>1</v>
      </c>
      <c r="O563" s="3" t="str">
        <f aca="false">IF(AND(B563=4,M563=1),IF(N563&lt;0.8,"Subgrupo 7 dias; fronteira de cluster","Subgrupo 7 dias"),IF(N563&lt;0.8,"Fronteira de cluster",""))</f>
        <v>Subgrupo 7 dias</v>
      </c>
    </row>
    <row r="564" customFormat="false" ht="15" hidden="false" customHeight="false" outlineLevel="0" collapsed="false">
      <c r="A564" s="14" t="n">
        <v>563</v>
      </c>
      <c r="B564" s="14" t="n">
        <v>0</v>
      </c>
      <c r="C564" s="14" t="s">
        <v>29</v>
      </c>
      <c r="D564" s="15" t="n">
        <v>5513.49226804124</v>
      </c>
      <c r="E564" s="16" t="n">
        <f aca="false">INDEX(Parâmetros!$C$33:$C$37,MATCH(B564,Parâmetros!$A$33:$A$37,0))</f>
        <v>5476.37033462034</v>
      </c>
      <c r="F564" s="7" t="n">
        <f aca="false">MAX(0,(E564-D564)/D564)</f>
        <v>0</v>
      </c>
      <c r="G564" s="7" t="n">
        <f aca="false">MIN(K564*Parâmetros!$B$19,Parâmetros!$B$8)</f>
        <v>0.0244038339849275</v>
      </c>
      <c r="H564" s="3" t="str">
        <f aca="false">IF(F564&gt;=Parâmetros!$B$6,"Ação","Acompanhamento")</f>
        <v>Acompanhamento</v>
      </c>
      <c r="I564" s="17" t="n">
        <v>300.67940552017</v>
      </c>
      <c r="J564" s="11" t="n">
        <f aca="false">D564*I564</f>
        <v>1657793.57749469</v>
      </c>
      <c r="K564" s="7" t="n">
        <f aca="false">Parâmetros!$B$4+Parâmetros!$B$5*F564</f>
        <v>0.02</v>
      </c>
      <c r="L564" s="11" t="n">
        <f aca="false">D564*(1+G564)</f>
        <v>5648.0426180277</v>
      </c>
      <c r="M564" s="14" t="n">
        <v>0</v>
      </c>
      <c r="N564" s="4" t="n">
        <v>0.756410256410256</v>
      </c>
      <c r="O564" s="3" t="str">
        <f aca="false">IF(AND(B564=4,M564=1),IF(N564&lt;0.8,"Subgrupo 7 dias; fronteira de cluster","Subgrupo 7 dias"),IF(N564&lt;0.8,"Fronteira de cluster",""))</f>
        <v>Fronteira de cluster</v>
      </c>
    </row>
    <row r="565" customFormat="false" ht="15" hidden="false" customHeight="false" outlineLevel="0" collapsed="false">
      <c r="A565" s="14" t="n">
        <v>564</v>
      </c>
      <c r="B565" s="14" t="n">
        <v>1</v>
      </c>
      <c r="C565" s="14" t="s">
        <v>30</v>
      </c>
      <c r="D565" s="15" t="n">
        <v>5528.11553273428</v>
      </c>
      <c r="E565" s="16" t="n">
        <f aca="false">INDEX(Parâmetros!$C$33:$C$37,MATCH(B565,Parâmetros!$A$33:$A$37,0))</f>
        <v>6959.92435130262</v>
      </c>
      <c r="F565" s="7" t="n">
        <f aca="false">MAX(0,(E565-D565)/D565)</f>
        <v>0.259004865236627</v>
      </c>
      <c r="G565" s="7" t="n">
        <f aca="false">MIN(K565*Parâmetros!$B$19,Parâmetros!$B$8)</f>
        <v>0.103412730641467</v>
      </c>
      <c r="H565" s="3" t="str">
        <f aca="false">IF(F565&gt;=Parâmetros!$B$6,"Ação","Acompanhamento")</f>
        <v>Ação</v>
      </c>
      <c r="I565" s="17" t="n">
        <v>301.841825902336</v>
      </c>
      <c r="J565" s="11" t="n">
        <f aca="false">D565*I565</f>
        <v>1668616.48619958</v>
      </c>
      <c r="K565" s="7" t="n">
        <f aca="false">Parâmetros!$B$4+Parâmetros!$B$5*F565</f>
        <v>0.0847512163091568</v>
      </c>
      <c r="L565" s="11" t="n">
        <f aca="false">D565*(1+G565)</f>
        <v>6099.79305527583</v>
      </c>
      <c r="M565" s="14" t="n">
        <v>0</v>
      </c>
      <c r="N565" s="4" t="n">
        <v>1</v>
      </c>
      <c r="O565" s="3" t="str">
        <f aca="false">IF(AND(B565=4,M565=1),IF(N565&lt;0.8,"Subgrupo 7 dias; fronteira de cluster","Subgrupo 7 dias"),IF(N565&lt;0.8,"Fronteira de cluster",""))</f>
        <v/>
      </c>
    </row>
    <row r="566" customFormat="false" ht="15" hidden="false" customHeight="false" outlineLevel="0" collapsed="false">
      <c r="A566" s="14" t="n">
        <v>565</v>
      </c>
      <c r="B566" s="14" t="n">
        <v>0</v>
      </c>
      <c r="C566" s="14" t="s">
        <v>29</v>
      </c>
      <c r="D566" s="15" t="n">
        <v>6636.41720154044</v>
      </c>
      <c r="E566" s="16" t="n">
        <f aca="false">INDEX(Parâmetros!$C$33:$C$37,MATCH(B566,Parâmetros!$A$33:$A$37,0))</f>
        <v>5476.37033462034</v>
      </c>
      <c r="F566" s="7" t="n">
        <f aca="false">MAX(0,(E566-D566)/D566)</f>
        <v>0</v>
      </c>
      <c r="G566" s="7" t="n">
        <f aca="false">MIN(K566*Parâmetros!$B$19,Parâmetros!$B$8)</f>
        <v>0.0244038339849275</v>
      </c>
      <c r="H566" s="3" t="str">
        <f aca="false">IF(F566&gt;=Parâmetros!$B$6,"Ação","Acompanhamento")</f>
        <v>Acompanhamento</v>
      </c>
      <c r="I566" s="17" t="n">
        <v>301.841825902336</v>
      </c>
      <c r="J566" s="11" t="n">
        <f aca="false">D566*I566</f>
        <v>2003148.28556263</v>
      </c>
      <c r="K566" s="7" t="n">
        <f aca="false">Parâmetros!$B$4+Parâmetros!$B$5*F566</f>
        <v>0.02</v>
      </c>
      <c r="L566" s="11" t="n">
        <f aca="false">D566*(1+G566)</f>
        <v>6798.37122518155</v>
      </c>
      <c r="M566" s="14" t="n">
        <v>0</v>
      </c>
      <c r="N566" s="4" t="n">
        <v>0.975</v>
      </c>
      <c r="O566" s="3" t="str">
        <f aca="false">IF(AND(B566=4,M566=1),IF(N566&lt;0.8,"Subgrupo 7 dias; fronteira de cluster","Subgrupo 7 dias"),IF(N566&lt;0.8,"Fronteira de cluster",""))</f>
        <v/>
      </c>
    </row>
    <row r="567" customFormat="false" ht="15" hidden="false" customHeight="false" outlineLevel="0" collapsed="false">
      <c r="A567" s="14" t="n">
        <v>566</v>
      </c>
      <c r="B567" s="14" t="n">
        <v>0</v>
      </c>
      <c r="C567" s="14" t="s">
        <v>29</v>
      </c>
      <c r="D567" s="15" t="n">
        <v>4904.63903061225</v>
      </c>
      <c r="E567" s="16" t="n">
        <f aca="false">INDEX(Parâmetros!$C$33:$C$37,MATCH(B567,Parâmetros!$A$33:$A$37,0))</f>
        <v>5476.37033462034</v>
      </c>
      <c r="F567" s="7" t="n">
        <f aca="false">MAX(0,(E567-D567)/D567)</f>
        <v>0.116569496845667</v>
      </c>
      <c r="G567" s="7" t="n">
        <f aca="false">MIN(K567*Parâmetros!$B$19,Parâmetros!$B$8)</f>
        <v>0.0599631170940297</v>
      </c>
      <c r="H567" s="3" t="str">
        <f aca="false">IF(F567&gt;=Parâmetros!$B$6,"Ação","Acompanhamento")</f>
        <v>Ação</v>
      </c>
      <c r="I567" s="17" t="n">
        <v>303.779193205945</v>
      </c>
      <c r="J567" s="11" t="n">
        <f aca="false">D567*I567</f>
        <v>1489927.28768578</v>
      </c>
      <c r="K567" s="7" t="n">
        <f aca="false">Parâmetros!$B$4+Parâmetros!$B$5*F567</f>
        <v>0.0491423742114168</v>
      </c>
      <c r="L567" s="11" t="n">
        <f aca="false">D567*(1+G567)</f>
        <v>5198.7364751088</v>
      </c>
      <c r="M567" s="14" t="n">
        <v>0</v>
      </c>
      <c r="N567" s="4" t="n">
        <v>0.987951807228916</v>
      </c>
      <c r="O567" s="3" t="str">
        <f aca="false">IF(AND(B567=4,M567=1),IF(N567&lt;0.8,"Subgrupo 7 dias; fronteira de cluster","Subgrupo 7 dias"),IF(N567&lt;0.8,"Fronteira de cluster",""))</f>
        <v/>
      </c>
    </row>
    <row r="568" customFormat="false" ht="15" hidden="false" customHeight="false" outlineLevel="0" collapsed="false">
      <c r="A568" s="14" t="n">
        <v>567</v>
      </c>
      <c r="B568" s="14" t="n">
        <v>0</v>
      </c>
      <c r="C568" s="14" t="s">
        <v>29</v>
      </c>
      <c r="D568" s="15" t="n">
        <v>5241.50449293967</v>
      </c>
      <c r="E568" s="16" t="n">
        <f aca="false">INDEX(Parâmetros!$C$33:$C$37,MATCH(B568,Parâmetros!$A$33:$A$37,0))</f>
        <v>5476.37033462034</v>
      </c>
      <c r="F568" s="7" t="n">
        <f aca="false">MAX(0,(E568-D568)/D568)</f>
        <v>0.0448088601272848</v>
      </c>
      <c r="G568" s="7" t="n">
        <f aca="false">MIN(K568*Parâmetros!$B$19,Parâmetros!$B$8)</f>
        <v>0.0380726837799286</v>
      </c>
      <c r="H568" s="3" t="str">
        <f aca="false">IF(F568&gt;=Parâmetros!$B$6,"Ação","Acompanhamento")</f>
        <v>Acompanhamento</v>
      </c>
      <c r="I568" s="17" t="n">
        <v>301.841825902336</v>
      </c>
      <c r="J568" s="11" t="n">
        <f aca="false">D568*I568</f>
        <v>1582105.2866242</v>
      </c>
      <c r="K568" s="7" t="n">
        <f aca="false">Parâmetros!$B$4+Parâmetros!$B$5*F568</f>
        <v>0.0312022150318212</v>
      </c>
      <c r="L568" s="11" t="n">
        <f aca="false">D568*(1+G568)</f>
        <v>5441.06263603043</v>
      </c>
      <c r="M568" s="14" t="n">
        <v>0</v>
      </c>
      <c r="N568" s="4" t="n">
        <v>1</v>
      </c>
      <c r="O568" s="3" t="str">
        <f aca="false">IF(AND(B568=4,M568=1),IF(N568&lt;0.8,"Subgrupo 7 dias; fronteira de cluster","Subgrupo 7 dias"),IF(N568&lt;0.8,"Fronteira de cluster",""))</f>
        <v/>
      </c>
    </row>
    <row r="569" customFormat="false" ht="15" hidden="false" customHeight="false" outlineLevel="0" collapsed="false">
      <c r="A569" s="14" t="n">
        <v>568</v>
      </c>
      <c r="B569" s="14" t="n">
        <v>1</v>
      </c>
      <c r="C569" s="14" t="s">
        <v>30</v>
      </c>
      <c r="D569" s="15" t="n">
        <v>4877.49679897567</v>
      </c>
      <c r="E569" s="16" t="n">
        <f aca="false">INDEX(Parâmetros!$C$33:$C$37,MATCH(B569,Parâmetros!$A$33:$A$37,0))</f>
        <v>6959.92435130262</v>
      </c>
      <c r="F569" s="7" t="n">
        <f aca="false">MAX(0,(E569-D569)/D569)</f>
        <v>0.426945959813706</v>
      </c>
      <c r="G569" s="7" t="n">
        <f aca="false">MIN(K569*Parâmetros!$B$19,Parâmetros!$B$8)</f>
        <v>0.154642813032792</v>
      </c>
      <c r="H569" s="3" t="str">
        <f aca="false">IF(F569&gt;=Parâmetros!$B$6,"Ação","Acompanhamento")</f>
        <v>Ação</v>
      </c>
      <c r="I569" s="17" t="n">
        <v>302.616772823779</v>
      </c>
      <c r="J569" s="11" t="n">
        <f aca="false">D569*I569</f>
        <v>1476012.34076433</v>
      </c>
      <c r="K569" s="7" t="n">
        <f aca="false">Parâmetros!$B$4+Parâmetros!$B$5*F569</f>
        <v>0.126736489953427</v>
      </c>
      <c r="L569" s="11" t="n">
        <f aca="false">D569*(1+G569)</f>
        <v>5631.76662452771</v>
      </c>
      <c r="M569" s="14" t="n">
        <v>0</v>
      </c>
      <c r="N569" s="4" t="n">
        <v>1</v>
      </c>
      <c r="O569" s="3" t="str">
        <f aca="false">IF(AND(B569=4,M569=1),IF(N569&lt;0.8,"Subgrupo 7 dias; fronteira de cluster","Subgrupo 7 dias"),IF(N569&lt;0.8,"Fronteira de cluster",""))</f>
        <v/>
      </c>
    </row>
    <row r="570" customFormat="false" ht="15" hidden="false" customHeight="false" outlineLevel="0" collapsed="false">
      <c r="A570" s="14" t="n">
        <v>569</v>
      </c>
      <c r="B570" s="14" t="n">
        <v>0</v>
      </c>
      <c r="C570" s="14" t="s">
        <v>29</v>
      </c>
      <c r="D570" s="15" t="n">
        <v>4519.55612244898</v>
      </c>
      <c r="E570" s="16" t="n">
        <f aca="false">INDEX(Parâmetros!$C$33:$C$37,MATCH(B570,Parâmetros!$A$33:$A$37,0))</f>
        <v>5476.37033462034</v>
      </c>
      <c r="F570" s="7" t="n">
        <f aca="false">MAX(0,(E570-D570)/D570)</f>
        <v>0.211705350314998</v>
      </c>
      <c r="G570" s="7" t="n">
        <f aca="false">MIN(K570*Parâmetros!$B$19,Parâmetros!$B$8)</f>
        <v>0.088984111770029</v>
      </c>
      <c r="H570" s="3" t="str">
        <f aca="false">IF(F570&gt;=Parâmetros!$B$6,"Ação","Acompanhamento")</f>
        <v>Ação</v>
      </c>
      <c r="I570" s="17" t="n">
        <v>303.779193205945</v>
      </c>
      <c r="J570" s="11" t="n">
        <f aca="false">D570*I570</f>
        <v>1372947.11252654</v>
      </c>
      <c r="K570" s="7" t="n">
        <f aca="false">Parâmetros!$B$4+Parâmetros!$B$5*F570</f>
        <v>0.0729263375787495</v>
      </c>
      <c r="L570" s="11" t="n">
        <f aca="false">D570*(1+G570)</f>
        <v>4921.7248095999</v>
      </c>
      <c r="M570" s="14" t="n">
        <v>0</v>
      </c>
      <c r="N570" s="4" t="n">
        <v>0.753246753246753</v>
      </c>
      <c r="O570" s="3" t="str">
        <f aca="false">IF(AND(B570=4,M570=1),IF(N570&lt;0.8,"Subgrupo 7 dias; fronteira de cluster","Subgrupo 7 dias"),IF(N570&lt;0.8,"Fronteira de cluster",""))</f>
        <v>Fronteira de cluster</v>
      </c>
    </row>
    <row r="571" customFormat="false" ht="15" hidden="false" customHeight="false" outlineLevel="0" collapsed="false">
      <c r="A571" s="14" t="n">
        <v>570</v>
      </c>
      <c r="B571" s="14" t="n">
        <v>0</v>
      </c>
      <c r="C571" s="14" t="s">
        <v>29</v>
      </c>
      <c r="D571" s="15" t="n">
        <v>4535.40436456996</v>
      </c>
      <c r="E571" s="16" t="n">
        <f aca="false">INDEX(Parâmetros!$C$33:$C$37,MATCH(B571,Parâmetros!$A$33:$A$37,0))</f>
        <v>5476.37033462034</v>
      </c>
      <c r="F571" s="7" t="n">
        <f aca="false">MAX(0,(E571-D571)/D571)</f>
        <v>0.207471240580242</v>
      </c>
      <c r="G571" s="7" t="n">
        <f aca="false">MIN(K571*Parâmetros!$B$19,Parâmetros!$B$8)</f>
        <v>0.087692505382017</v>
      </c>
      <c r="H571" s="3" t="str">
        <f aca="false">IF(F571&gt;=Parâmetros!$B$6,"Ação","Acompanhamento")</f>
        <v>Ação</v>
      </c>
      <c r="I571" s="17" t="n">
        <v>301.841825902336</v>
      </c>
      <c r="J571" s="11" t="n">
        <f aca="false">D571*I571</f>
        <v>1368974.73460722</v>
      </c>
      <c r="K571" s="7" t="n">
        <f aca="false">Parâmetros!$B$4+Parâmetros!$B$5*F571</f>
        <v>0.0718678101450605</v>
      </c>
      <c r="L571" s="11" t="n">
        <f aca="false">D571*(1+G571)</f>
        <v>4933.12533621964</v>
      </c>
      <c r="M571" s="14" t="n">
        <v>0</v>
      </c>
      <c r="N571" s="4" t="n">
        <v>0.987951807228916</v>
      </c>
      <c r="O571" s="3" t="str">
        <f aca="false">IF(AND(B571=4,M571=1),IF(N571&lt;0.8,"Subgrupo 7 dias; fronteira de cluster","Subgrupo 7 dias"),IF(N571&lt;0.8,"Fronteira de cluster",""))</f>
        <v/>
      </c>
    </row>
    <row r="572" customFormat="false" ht="15" hidden="false" customHeight="false" outlineLevel="0" collapsed="false">
      <c r="A572" s="14" t="n">
        <v>571</v>
      </c>
      <c r="B572" s="14" t="n">
        <v>1</v>
      </c>
      <c r="C572" s="14" t="s">
        <v>30</v>
      </c>
      <c r="D572" s="15" t="n">
        <v>7742.75080385852</v>
      </c>
      <c r="E572" s="16" t="n">
        <f aca="false">INDEX(Parâmetros!$C$33:$C$37,MATCH(B572,Parâmetros!$A$33:$A$37,0))</f>
        <v>6959.92435130262</v>
      </c>
      <c r="F572" s="7" t="n">
        <f aca="false">MAX(0,(E572-D572)/D572)</f>
        <v>0</v>
      </c>
      <c r="G572" s="7" t="n">
        <f aca="false">MIN(K572*Parâmetros!$B$19,Parâmetros!$B$8)</f>
        <v>0.0244038339849275</v>
      </c>
      <c r="H572" s="3" t="str">
        <f aca="false">IF(F572&gt;=Parâmetros!$B$6,"Ação","Acompanhamento")</f>
        <v>Acompanhamento</v>
      </c>
      <c r="I572" s="17" t="n">
        <v>299.511873350924</v>
      </c>
      <c r="J572" s="11" t="n">
        <f aca="false">D572*I572</f>
        <v>2319045.79815303</v>
      </c>
      <c r="K572" s="7" t="n">
        <f aca="false">Parâmetros!$B$4+Parâmetros!$B$5*F572</f>
        <v>0.02</v>
      </c>
      <c r="L572" s="11" t="n">
        <f aca="false">D572*(1+G572)</f>
        <v>7931.70360906255</v>
      </c>
      <c r="M572" s="14" t="n">
        <v>0</v>
      </c>
      <c r="N572" s="4" t="n">
        <v>1</v>
      </c>
      <c r="O572" s="3" t="str">
        <f aca="false">IF(AND(B572=4,M572=1),IF(N572&lt;0.8,"Subgrupo 7 dias; fronteira de cluster","Subgrupo 7 dias"),IF(N572&lt;0.8,"Fronteira de cluster",""))</f>
        <v/>
      </c>
    </row>
    <row r="573" customFormat="false" ht="15" hidden="false" customHeight="false" outlineLevel="0" collapsed="false">
      <c r="A573" s="14" t="n">
        <v>572</v>
      </c>
      <c r="B573" s="14" t="n">
        <v>1</v>
      </c>
      <c r="C573" s="14" t="s">
        <v>30</v>
      </c>
      <c r="D573" s="15" t="n">
        <v>6888.75</v>
      </c>
      <c r="E573" s="16" t="n">
        <f aca="false">INDEX(Parâmetros!$C$33:$C$37,MATCH(B573,Parâmetros!$A$33:$A$37,0))</f>
        <v>6959.92435130262</v>
      </c>
      <c r="F573" s="7" t="n">
        <f aca="false">MAX(0,(E573-D573)/D573)</f>
        <v>0.0103319689787873</v>
      </c>
      <c r="G573" s="7" t="n">
        <f aca="false">MIN(K573*Parâmetros!$B$19,Parâmetros!$B$8)</f>
        <v>0.0275555796811243</v>
      </c>
      <c r="H573" s="3" t="str">
        <f aca="false">IF(F573&gt;=Parâmetros!$B$6,"Ação","Acompanhamento")</f>
        <v>Acompanhamento</v>
      </c>
      <c r="I573" s="17" t="n">
        <v>300.67940552017</v>
      </c>
      <c r="J573" s="11" t="n">
        <f aca="false">D573*I573</f>
        <v>2071305.25477707</v>
      </c>
      <c r="K573" s="7" t="n">
        <f aca="false">Parâmetros!$B$4+Parâmetros!$B$5*F573</f>
        <v>0.0225829922446968</v>
      </c>
      <c r="L573" s="11" t="n">
        <f aca="false">D573*(1+G573)</f>
        <v>7078.57349952835</v>
      </c>
      <c r="M573" s="14" t="n">
        <v>0</v>
      </c>
      <c r="N573" s="4" t="n">
        <v>1</v>
      </c>
      <c r="O573" s="3" t="str">
        <f aca="false">IF(AND(B573=4,M573=1),IF(N573&lt;0.8,"Subgrupo 7 dias; fronteira de cluster","Subgrupo 7 dias"),IF(N573&lt;0.8,"Fronteira de cluster",""))</f>
        <v/>
      </c>
    </row>
    <row r="574" customFormat="false" ht="15" hidden="false" customHeight="false" outlineLevel="0" collapsed="false">
      <c r="A574" s="14" t="n">
        <v>573</v>
      </c>
      <c r="B574" s="14" t="n">
        <v>0</v>
      </c>
      <c r="C574" s="14" t="s">
        <v>29</v>
      </c>
      <c r="D574" s="15" t="n">
        <v>3974.77331189711</v>
      </c>
      <c r="E574" s="16" t="n">
        <f aca="false">INDEX(Parâmetros!$C$33:$C$37,MATCH(B574,Parâmetros!$A$33:$A$37,0))</f>
        <v>5476.37033462034</v>
      </c>
      <c r="F574" s="7" t="n">
        <f aca="false">MAX(0,(E574-D574)/D574)</f>
        <v>0.37778180160079</v>
      </c>
      <c r="G574" s="7" t="n">
        <f aca="false">MIN(K574*Parâmetros!$B$19,Parâmetros!$B$8)</f>
        <v>0.139645388594834</v>
      </c>
      <c r="H574" s="3" t="str">
        <f aca="false">IF(F574&gt;=Parâmetros!$B$6,"Ação","Acompanhamento")</f>
        <v>Ação</v>
      </c>
      <c r="I574" s="17" t="n">
        <v>299.511873350924</v>
      </c>
      <c r="J574" s="11" t="n">
        <f aca="false">D574*I574</f>
        <v>1190491.80079156</v>
      </c>
      <c r="K574" s="7" t="n">
        <f aca="false">Parâmetros!$B$4+Parâmetros!$B$5*F574</f>
        <v>0.114445450400198</v>
      </c>
      <c r="L574" s="11" t="n">
        <f aca="false">D574*(1+G574)</f>
        <v>4529.83207561335</v>
      </c>
      <c r="M574" s="14" t="n">
        <v>0</v>
      </c>
      <c r="N574" s="4" t="n">
        <v>1</v>
      </c>
      <c r="O574" s="3" t="str">
        <f aca="false">IF(AND(B574=4,M574=1),IF(N574&lt;0.8,"Subgrupo 7 dias; fronteira de cluster","Subgrupo 7 dias"),IF(N574&lt;0.8,"Fronteira de cluster",""))</f>
        <v/>
      </c>
    </row>
    <row r="575" customFormat="false" ht="15" hidden="false" customHeight="false" outlineLevel="0" collapsed="false">
      <c r="A575" s="14" t="n">
        <v>574</v>
      </c>
      <c r="B575" s="14" t="n">
        <v>1</v>
      </c>
      <c r="C575" s="14" t="s">
        <v>30</v>
      </c>
      <c r="D575" s="15" t="n">
        <v>8898.2175032175</v>
      </c>
      <c r="E575" s="16" t="n">
        <f aca="false">INDEX(Parâmetros!$C$33:$C$37,MATCH(B575,Parâmetros!$A$33:$A$37,0))</f>
        <v>6959.92435130262</v>
      </c>
      <c r="F575" s="7" t="n">
        <f aca="false">MAX(0,(E575-D575)/D575)</f>
        <v>0</v>
      </c>
      <c r="G575" s="7" t="n">
        <f aca="false">MIN(K575*Parâmetros!$B$19,Parâmetros!$B$8)</f>
        <v>0.0244038339849275</v>
      </c>
      <c r="H575" s="3" t="str">
        <f aca="false">IF(F575&gt;=Parâmetros!$B$6,"Ação","Acompanhamento")</f>
        <v>Acompanhamento</v>
      </c>
      <c r="I575" s="17" t="n">
        <v>301.066878980892</v>
      </c>
      <c r="J575" s="11" t="n">
        <f aca="false">D575*I575</f>
        <v>2678958.57218684</v>
      </c>
      <c r="K575" s="7" t="n">
        <f aca="false">Parâmetros!$B$4+Parâmetros!$B$5*F575</f>
        <v>0.02</v>
      </c>
      <c r="L575" s="11" t="n">
        <f aca="false">D575*(1+G575)</f>
        <v>9115.3681259278</v>
      </c>
      <c r="M575" s="14" t="n">
        <v>0</v>
      </c>
      <c r="N575" s="4" t="n">
        <v>1</v>
      </c>
      <c r="O575" s="3" t="str">
        <f aca="false">IF(AND(B575=4,M575=1),IF(N575&lt;0.8,"Subgrupo 7 dias; fronteira de cluster","Subgrupo 7 dias"),IF(N575&lt;0.8,"Fronteira de cluster",""))</f>
        <v/>
      </c>
    </row>
    <row r="576" customFormat="false" ht="15" hidden="false" customHeight="false" outlineLevel="0" collapsed="false">
      <c r="A576" s="14" t="n">
        <v>575</v>
      </c>
      <c r="B576" s="14" t="n">
        <v>3</v>
      </c>
      <c r="C576" s="14" t="s">
        <v>32</v>
      </c>
      <c r="D576" s="15" t="n">
        <v>5367.56661316212</v>
      </c>
      <c r="E576" s="16" t="n">
        <f aca="false">INDEX(Parâmetros!$C$33:$C$37,MATCH(B576,Parâmetros!$A$33:$A$37,0))</f>
        <v>5909.24487179487</v>
      </c>
      <c r="F576" s="7" t="n">
        <f aca="false">MAX(0,(E576-D576)/D576)</f>
        <v>0.100916914063902</v>
      </c>
      <c r="G576" s="7" t="n">
        <f aca="false">MIN(K576*Parâmetros!$B$19,Parâmetros!$B$8)</f>
        <v>0.0551883291985107</v>
      </c>
      <c r="H576" s="3" t="str">
        <f aca="false">IF(F576&gt;=Parâmetros!$B$6,"Ação","Acompanhamento")</f>
        <v>Ação</v>
      </c>
      <c r="I576" s="17" t="n">
        <v>299.993403693931</v>
      </c>
      <c r="J576" s="11" t="n">
        <f aca="false">D576*I576</f>
        <v>1610234.57783641</v>
      </c>
      <c r="K576" s="7" t="n">
        <f aca="false">Parâmetros!$B$4+Parâmetros!$B$5*F576</f>
        <v>0.0452292285159756</v>
      </c>
      <c r="L576" s="11" t="n">
        <f aca="false">D576*(1+G576)</f>
        <v>5663.79364640425</v>
      </c>
      <c r="M576" s="14" t="n">
        <v>0</v>
      </c>
      <c r="N576" s="4" t="n">
        <v>1</v>
      </c>
      <c r="O576" s="3" t="str">
        <f aca="false">IF(AND(B576=4,M576=1),IF(N576&lt;0.8,"Subgrupo 7 dias; fronteira de cluster","Subgrupo 7 dias"),IF(N576&lt;0.8,"Fronteira de cluster",""))</f>
        <v/>
      </c>
    </row>
    <row r="577" customFormat="false" ht="15" hidden="false" customHeight="false" outlineLevel="0" collapsed="false">
      <c r="A577" s="14" t="n">
        <v>576</v>
      </c>
      <c r="B577" s="14" t="n">
        <v>0</v>
      </c>
      <c r="C577" s="14" t="s">
        <v>29</v>
      </c>
      <c r="D577" s="15" t="n">
        <v>6982.51785714286</v>
      </c>
      <c r="E577" s="16" t="n">
        <f aca="false">INDEX(Parâmetros!$C$33:$C$37,MATCH(B577,Parâmetros!$A$33:$A$37,0))</f>
        <v>5476.37033462034</v>
      </c>
      <c r="F577" s="7" t="n">
        <f aca="false">MAX(0,(E577-D577)/D577)</f>
        <v>0</v>
      </c>
      <c r="G577" s="7" t="n">
        <f aca="false">MIN(K577*Parâmetros!$B$19,Parâmetros!$B$8)</f>
        <v>0.0244038339849275</v>
      </c>
      <c r="H577" s="3" t="str">
        <f aca="false">IF(F577&gt;=Parâmetros!$B$6,"Ação","Acompanhamento")</f>
        <v>Acompanhamento</v>
      </c>
      <c r="I577" s="17" t="n">
        <v>303.779193205945</v>
      </c>
      <c r="J577" s="11" t="n">
        <f aca="false">D577*I577</f>
        <v>2121143.64118896</v>
      </c>
      <c r="K577" s="7" t="n">
        <f aca="false">Parâmetros!$B$4+Parâmetros!$B$5*F577</f>
        <v>0.02</v>
      </c>
      <c r="L577" s="11" t="n">
        <f aca="false">D577*(1+G577)</f>
        <v>7152.91806372536</v>
      </c>
      <c r="M577" s="14" t="n">
        <v>0</v>
      </c>
      <c r="N577" s="4" t="n">
        <v>0.952380952380952</v>
      </c>
      <c r="O577" s="3" t="str">
        <f aca="false">IF(AND(B577=4,M577=1),IF(N577&lt;0.8,"Subgrupo 7 dias; fronteira de cluster","Subgrupo 7 dias"),IF(N577&lt;0.8,"Fronteira de cluster",""))</f>
        <v/>
      </c>
    </row>
    <row r="578" customFormat="false" ht="15" hidden="false" customHeight="false" outlineLevel="0" collapsed="false">
      <c r="A578" s="14" t="n">
        <v>577</v>
      </c>
      <c r="B578" s="14" t="n">
        <v>0</v>
      </c>
      <c r="C578" s="14" t="s">
        <v>29</v>
      </c>
      <c r="D578" s="15" t="n">
        <v>4953.41709183674</v>
      </c>
      <c r="E578" s="16" t="n">
        <f aca="false">INDEX(Parâmetros!$C$33:$C$37,MATCH(B578,Parâmetros!$A$33:$A$37,0))</f>
        <v>5476.37033462034</v>
      </c>
      <c r="F578" s="7" t="n">
        <f aca="false">MAX(0,(E578-D578)/D578)</f>
        <v>0.105574239578054</v>
      </c>
      <c r="G578" s="7" t="n">
        <f aca="false">MIN(K578*Parâmetros!$B$19,Parâmetros!$B$8)</f>
        <v>0.0566090366817748</v>
      </c>
      <c r="H578" s="3" t="str">
        <f aca="false">IF(F578&gt;=Parâmetros!$B$6,"Ação","Acompanhamento")</f>
        <v>Ação</v>
      </c>
      <c r="I578" s="17" t="n">
        <v>303.779193205945</v>
      </c>
      <c r="J578" s="11" t="n">
        <f aca="false">D578*I578</f>
        <v>1504745.0477707</v>
      </c>
      <c r="K578" s="7" t="n">
        <f aca="false">Parâmetros!$B$4+Parâmetros!$B$5*F578</f>
        <v>0.0463935598945135</v>
      </c>
      <c r="L578" s="11" t="n">
        <f aca="false">D578*(1+G578)</f>
        <v>5233.82526168865</v>
      </c>
      <c r="M578" s="14" t="n">
        <v>0</v>
      </c>
      <c r="N578" s="4" t="n">
        <v>1</v>
      </c>
      <c r="O578" s="3" t="str">
        <f aca="false">IF(AND(B578=4,M578=1),IF(N578&lt;0.8,"Subgrupo 7 dias; fronteira de cluster","Subgrupo 7 dias"),IF(N578&lt;0.8,"Fronteira de cluster",""))</f>
        <v/>
      </c>
    </row>
    <row r="579" customFormat="false" ht="15" hidden="false" customHeight="false" outlineLevel="0" collapsed="false">
      <c r="A579" s="14" t="n">
        <v>578</v>
      </c>
      <c r="B579" s="14" t="n">
        <v>1</v>
      </c>
      <c r="C579" s="14" t="s">
        <v>30</v>
      </c>
      <c r="D579" s="15" t="n">
        <v>8164.39178690344</v>
      </c>
      <c r="E579" s="16" t="n">
        <f aca="false">INDEX(Parâmetros!$C$33:$C$37,MATCH(B579,Parâmetros!$A$33:$A$37,0))</f>
        <v>6959.92435130262</v>
      </c>
      <c r="F579" s="7" t="n">
        <f aca="false">MAX(0,(E579-D579)/D579)</f>
        <v>0</v>
      </c>
      <c r="G579" s="7" t="n">
        <f aca="false">MIN(K579*Parâmetros!$B$19,Parâmetros!$B$8)</f>
        <v>0.0244038339849275</v>
      </c>
      <c r="H579" s="3" t="str">
        <f aca="false">IF(F579&gt;=Parâmetros!$B$6,"Ação","Acompanhamento")</f>
        <v>Acompanhamento</v>
      </c>
      <c r="I579" s="17" t="n">
        <v>349.113588110403</v>
      </c>
      <c r="J579" s="11" t="n">
        <f aca="false">D579*I579</f>
        <v>2850300.11146497</v>
      </c>
      <c r="K579" s="7" t="n">
        <f aca="false">Parâmetros!$B$4+Parâmetros!$B$5*F579</f>
        <v>0.02</v>
      </c>
      <c r="L579" s="11" t="n">
        <f aca="false">D579*(1+G579)</f>
        <v>8363.63424865894</v>
      </c>
      <c r="M579" s="14" t="n">
        <v>1</v>
      </c>
      <c r="N579" s="4" t="n">
        <v>0.987341772151899</v>
      </c>
      <c r="O579" s="3" t="str">
        <f aca="false">IF(AND(B579=4,M579=1),IF(N579&lt;0.8,"Subgrupo 7 dias; fronteira de cluster","Subgrupo 7 dias"),IF(N579&lt;0.8,"Fronteira de cluster",""))</f>
        <v/>
      </c>
    </row>
    <row r="580" customFormat="false" ht="15" hidden="false" customHeight="false" outlineLevel="0" collapsed="false">
      <c r="A580" s="14" t="n">
        <v>579</v>
      </c>
      <c r="B580" s="14" t="n">
        <v>1</v>
      </c>
      <c r="C580" s="14" t="s">
        <v>30</v>
      </c>
      <c r="D580" s="15" t="n">
        <v>8294.34788189987</v>
      </c>
      <c r="E580" s="16" t="n">
        <f aca="false">INDEX(Parâmetros!$C$33:$C$37,MATCH(B580,Parâmetros!$A$33:$A$37,0))</f>
        <v>6959.92435130262</v>
      </c>
      <c r="F580" s="7" t="n">
        <f aca="false">MAX(0,(E580-D580)/D580)</f>
        <v>0</v>
      </c>
      <c r="G580" s="7" t="n">
        <f aca="false">MIN(K580*Parâmetros!$B$19,Parâmetros!$B$8)</f>
        <v>0.0244038339849275</v>
      </c>
      <c r="H580" s="3" t="str">
        <f aca="false">IF(F580&gt;=Parâmetros!$B$6,"Ação","Acompanhamento")</f>
        <v>Acompanhamento</v>
      </c>
      <c r="I580" s="17" t="n">
        <v>301.841825902336</v>
      </c>
      <c r="J580" s="11" t="n">
        <f aca="false">D580*I580</f>
        <v>2503581.10934183</v>
      </c>
      <c r="K580" s="7" t="n">
        <f aca="false">Parâmetros!$B$4+Parâmetros!$B$5*F580</f>
        <v>0.02</v>
      </c>
      <c r="L580" s="11" t="n">
        <f aca="false">D580*(1+G580)</f>
        <v>8496.76177062299</v>
      </c>
      <c r="M580" s="14" t="n">
        <v>0</v>
      </c>
      <c r="N580" s="4" t="n">
        <v>1</v>
      </c>
      <c r="O580" s="3" t="str">
        <f aca="false">IF(AND(B580=4,M580=1),IF(N580&lt;0.8,"Subgrupo 7 dias; fronteira de cluster","Subgrupo 7 dias"),IF(N580&lt;0.8,"Fronteira de cluster",""))</f>
        <v/>
      </c>
    </row>
    <row r="581" customFormat="false" ht="15" hidden="false" customHeight="false" outlineLevel="0" collapsed="false">
      <c r="A581" s="14" t="n">
        <v>580</v>
      </c>
      <c r="B581" s="14" t="n">
        <v>4</v>
      </c>
      <c r="C581" s="14" t="s">
        <v>33</v>
      </c>
      <c r="D581" s="15" t="n">
        <v>10197.6619897959</v>
      </c>
      <c r="E581" s="16" t="n">
        <f aca="false">INDEX(Parâmetros!$C$33:$C$37,MATCH(B581,Parâmetros!$A$33:$A$37,0))</f>
        <v>8837.10512820513</v>
      </c>
      <c r="F581" s="7" t="n">
        <f aca="false">MAX(0,(E581-D581)/D581)</f>
        <v>0</v>
      </c>
      <c r="G581" s="7" t="n">
        <f aca="false">MIN(K581*Parâmetros!$B$19,Parâmetros!$B$8)</f>
        <v>0.0244038339849275</v>
      </c>
      <c r="H581" s="3" t="str">
        <f aca="false">IF(F581&gt;=Parâmetros!$B$6,"Ação","Acompanhamento")</f>
        <v>Acompanhamento</v>
      </c>
      <c r="I581" s="17" t="n">
        <v>303.779193205945</v>
      </c>
      <c r="J581" s="11" t="n">
        <f aca="false">D581*I581</f>
        <v>3097837.53184713</v>
      </c>
      <c r="K581" s="7" t="n">
        <f aca="false">Parâmetros!$B$4+Parâmetros!$B$5*F581</f>
        <v>0.02</v>
      </c>
      <c r="L581" s="11" t="n">
        <f aca="false">D581*(1+G581)</f>
        <v>10446.5240400293</v>
      </c>
      <c r="M581" s="14" t="n">
        <v>0</v>
      </c>
      <c r="N581" s="4" t="n">
        <v>0.963414634146341</v>
      </c>
      <c r="O581" s="3" t="str">
        <f aca="false">IF(AND(B581=4,M581=1),IF(N581&lt;0.8,"Subgrupo 7 dias; fronteira de cluster","Subgrupo 7 dias"),IF(N581&lt;0.8,"Fronteira de cluster",""))</f>
        <v/>
      </c>
    </row>
    <row r="582" customFormat="false" ht="15" hidden="false" customHeight="false" outlineLevel="0" collapsed="false">
      <c r="A582" s="14" t="n">
        <v>581</v>
      </c>
      <c r="B582" s="14" t="n">
        <v>3</v>
      </c>
      <c r="C582" s="14" t="s">
        <v>32</v>
      </c>
      <c r="D582" s="15" t="n">
        <v>5333.7188703466</v>
      </c>
      <c r="E582" s="16" t="n">
        <f aca="false">INDEX(Parâmetros!$C$33:$C$37,MATCH(B582,Parâmetros!$A$33:$A$37,0))</f>
        <v>5909.24487179487</v>
      </c>
      <c r="F582" s="7" t="n">
        <f aca="false">MAX(0,(E582-D582)/D582)</f>
        <v>0.107903325135484</v>
      </c>
      <c r="G582" s="7" t="n">
        <f aca="false">MIN(K582*Parâmetros!$B$19,Parâmetros!$B$8)</f>
        <v>0.0573195193977774</v>
      </c>
      <c r="H582" s="3" t="str">
        <f aca="false">IF(F582&gt;=Parâmetros!$B$6,"Ação","Acompanhamento")</f>
        <v>Ação</v>
      </c>
      <c r="I582" s="17" t="n">
        <v>301.841825902336</v>
      </c>
      <c r="J582" s="11" t="n">
        <f aca="false">D582*I582</f>
        <v>1609939.44267516</v>
      </c>
      <c r="K582" s="7" t="n">
        <f aca="false">Parâmetros!$B$4+Parâmetros!$B$5*F582</f>
        <v>0.0469758312838709</v>
      </c>
      <c r="L582" s="11" t="n">
        <f aca="false">D582*(1+G582)</f>
        <v>5639.44507259772</v>
      </c>
      <c r="M582" s="14" t="n">
        <v>0</v>
      </c>
      <c r="N582" s="4" t="n">
        <v>1</v>
      </c>
      <c r="O582" s="3" t="str">
        <f aca="false">IF(AND(B582=4,M582=1),IF(N582&lt;0.8,"Subgrupo 7 dias; fronteira de cluster","Subgrupo 7 dias"),IF(N582&lt;0.8,"Fronteira de cluster",""))</f>
        <v/>
      </c>
    </row>
    <row r="583" customFormat="false" ht="15" hidden="false" customHeight="false" outlineLevel="0" collapsed="false">
      <c r="A583" s="14" t="n">
        <v>582</v>
      </c>
      <c r="B583" s="14" t="n">
        <v>0</v>
      </c>
      <c r="C583" s="14" t="s">
        <v>29</v>
      </c>
      <c r="D583" s="15" t="n">
        <v>7023.0831202046</v>
      </c>
      <c r="E583" s="16" t="n">
        <f aca="false">INDEX(Parâmetros!$C$33:$C$37,MATCH(B583,Parâmetros!$A$33:$A$37,0))</f>
        <v>5476.37033462034</v>
      </c>
      <c r="F583" s="7" t="n">
        <f aca="false">MAX(0,(E583-D583)/D583)</f>
        <v>0</v>
      </c>
      <c r="G583" s="7" t="n">
        <f aca="false">MIN(K583*Parâmetros!$B$19,Parâmetros!$B$8)</f>
        <v>0.0244038339849275</v>
      </c>
      <c r="H583" s="3" t="str">
        <f aca="false">IF(F583&gt;=Parâmetros!$B$6,"Ação","Acompanhamento")</f>
        <v>Acompanhamento</v>
      </c>
      <c r="I583" s="17" t="n">
        <v>303.004246284501</v>
      </c>
      <c r="J583" s="11" t="n">
        <f aca="false">D583*I583</f>
        <v>2128024.007431</v>
      </c>
      <c r="K583" s="7" t="n">
        <f aca="false">Parâmetros!$B$4+Parâmetros!$B$5*F583</f>
        <v>0.02</v>
      </c>
      <c r="L583" s="11" t="n">
        <f aca="false">D583*(1+G583)</f>
        <v>7194.47327473242</v>
      </c>
      <c r="M583" s="14" t="n">
        <v>0</v>
      </c>
      <c r="N583" s="4" t="n">
        <v>0.946666666666667</v>
      </c>
      <c r="O583" s="3" t="str">
        <f aca="false">IF(AND(B583=4,M583=1),IF(N583&lt;0.8,"Subgrupo 7 dias; fronteira de cluster","Subgrupo 7 dias"),IF(N583&lt;0.8,"Fronteira de cluster",""))</f>
        <v/>
      </c>
    </row>
    <row r="584" customFormat="false" ht="15" hidden="false" customHeight="false" outlineLevel="0" collapsed="false">
      <c r="A584" s="14" t="n">
        <v>583</v>
      </c>
      <c r="B584" s="14" t="n">
        <v>0</v>
      </c>
      <c r="C584" s="14" t="s">
        <v>29</v>
      </c>
      <c r="D584" s="15" t="n">
        <v>4311.90769230769</v>
      </c>
      <c r="E584" s="16" t="n">
        <f aca="false">INDEX(Parâmetros!$C$33:$C$37,MATCH(B584,Parâmetros!$A$33:$A$37,0))</f>
        <v>5476.37033462034</v>
      </c>
      <c r="F584" s="7" t="n">
        <f aca="false">MAX(0,(E584-D584)/D584)</f>
        <v>0.270057414352818</v>
      </c>
      <c r="G584" s="7" t="n">
        <f aca="false">MIN(K584*Parâmetros!$B$19,Parâmetros!$B$8)</f>
        <v>0.106784287813239</v>
      </c>
      <c r="H584" s="3" t="str">
        <f aca="false">IF(F584&gt;=Parâmetros!$B$6,"Ação","Acompanhamento")</f>
        <v>Ação</v>
      </c>
      <c r="I584" s="17" t="n">
        <v>302.229299363057</v>
      </c>
      <c r="J584" s="11" t="n">
        <f aca="false">D584*I584</f>
        <v>1303184.84076433</v>
      </c>
      <c r="K584" s="7" t="n">
        <f aca="false">Parâmetros!$B$4+Parâmetros!$B$5*F584</f>
        <v>0.0875143535882045</v>
      </c>
      <c r="L584" s="11" t="n">
        <f aca="false">D584*(1+G584)</f>
        <v>4772.3516843472</v>
      </c>
      <c r="M584" s="14" t="n">
        <v>0</v>
      </c>
      <c r="N584" s="4" t="n">
        <v>1</v>
      </c>
      <c r="O584" s="3" t="str">
        <f aca="false">IF(AND(B584=4,M584=1),IF(N584&lt;0.8,"Subgrupo 7 dias; fronteira de cluster","Subgrupo 7 dias"),IF(N584&lt;0.8,"Fronteira de cluster",""))</f>
        <v/>
      </c>
    </row>
    <row r="585" customFormat="false" ht="15" hidden="false" customHeight="false" outlineLevel="0" collapsed="false">
      <c r="A585" s="14" t="n">
        <v>584</v>
      </c>
      <c r="B585" s="14" t="n">
        <v>1</v>
      </c>
      <c r="C585" s="14" t="s">
        <v>30</v>
      </c>
      <c r="D585" s="15" t="n">
        <v>4734.89628681178</v>
      </c>
      <c r="E585" s="16" t="n">
        <f aca="false">INDEX(Parâmetros!$C$33:$C$37,MATCH(B585,Parâmetros!$A$33:$A$37,0))</f>
        <v>6959.92435130262</v>
      </c>
      <c r="F585" s="7" t="n">
        <f aca="false">MAX(0,(E585-D585)/D585)</f>
        <v>0.4699211830021</v>
      </c>
      <c r="G585" s="7" t="n">
        <f aca="false">MIN(K585*Parâmetros!$B$19,Parâmetros!$B$8)</f>
        <v>0.167752315684727</v>
      </c>
      <c r="H585" s="3" t="str">
        <f aca="false">IF(F585&gt;=Parâmetros!$B$6,"Ação","Acompanhamento")</f>
        <v>Ação</v>
      </c>
      <c r="I585" s="17" t="n">
        <v>302.616772823779</v>
      </c>
      <c r="J585" s="11" t="n">
        <f aca="false">D585*I585</f>
        <v>1432859.03397028</v>
      </c>
      <c r="K585" s="7" t="n">
        <f aca="false">Parâmetros!$B$4+Parâmetros!$B$5*F585</f>
        <v>0.137480295750525</v>
      </c>
      <c r="L585" s="11" t="n">
        <f aca="false">D585*(1+G585)</f>
        <v>5529.18610345147</v>
      </c>
      <c r="M585" s="14" t="n">
        <v>0</v>
      </c>
      <c r="N585" s="4" t="n">
        <v>0.987341772151899</v>
      </c>
      <c r="O585" s="3" t="str">
        <f aca="false">IF(AND(B585=4,M585=1),IF(N585&lt;0.8,"Subgrupo 7 dias; fronteira de cluster","Subgrupo 7 dias"),IF(N585&lt;0.8,"Fronteira de cluster",""))</f>
        <v/>
      </c>
    </row>
    <row r="586" customFormat="false" ht="15" hidden="false" customHeight="false" outlineLevel="0" collapsed="false">
      <c r="A586" s="14" t="n">
        <v>585</v>
      </c>
      <c r="B586" s="14" t="n">
        <v>0</v>
      </c>
      <c r="C586" s="14" t="s">
        <v>29</v>
      </c>
      <c r="D586" s="15" t="n">
        <v>5675.1568877551</v>
      </c>
      <c r="E586" s="16" t="n">
        <f aca="false">INDEX(Parâmetros!$C$33:$C$37,MATCH(B586,Parâmetros!$A$33:$A$37,0))</f>
        <v>5476.37033462034</v>
      </c>
      <c r="F586" s="7" t="n">
        <f aca="false">MAX(0,(E586-D586)/D586)</f>
        <v>0</v>
      </c>
      <c r="G586" s="7" t="n">
        <f aca="false">MIN(K586*Parâmetros!$B$19,Parâmetros!$B$8)</f>
        <v>0.0244038339849275</v>
      </c>
      <c r="H586" s="3" t="str">
        <f aca="false">IF(F586&gt;=Parâmetros!$B$6,"Ação","Acompanhamento")</f>
        <v>Acompanhamento</v>
      </c>
      <c r="I586" s="17" t="n">
        <v>303.779193205945</v>
      </c>
      <c r="J586" s="11" t="n">
        <f aca="false">D586*I586</f>
        <v>1723994.58067941</v>
      </c>
      <c r="K586" s="7" t="n">
        <f aca="false">Parâmetros!$B$4+Parâmetros!$B$5*F586</f>
        <v>0.02</v>
      </c>
      <c r="L586" s="11" t="n">
        <f aca="false">D586*(1+G586)</f>
        <v>5813.6524742823</v>
      </c>
      <c r="M586" s="14" t="n">
        <v>0</v>
      </c>
      <c r="N586" s="4" t="n">
        <v>0.944444444444444</v>
      </c>
      <c r="O586" s="3" t="str">
        <f aca="false">IF(AND(B586=4,M586=1),IF(N586&lt;0.8,"Subgrupo 7 dias; fronteira de cluster","Subgrupo 7 dias"),IF(N586&lt;0.8,"Fronteira de cluster",""))</f>
        <v/>
      </c>
    </row>
    <row r="587" customFormat="false" ht="15" hidden="false" customHeight="false" outlineLevel="0" collapsed="false">
      <c r="A587" s="14" t="n">
        <v>586</v>
      </c>
      <c r="B587" s="14" t="n">
        <v>4</v>
      </c>
      <c r="C587" s="14" t="s">
        <v>33</v>
      </c>
      <c r="D587" s="15" t="n">
        <v>15131.9600515464</v>
      </c>
      <c r="E587" s="16" t="n">
        <f aca="false">INDEX(Parâmetros!$C$33:$C$37,MATCH(B587,Parâmetros!$A$33:$A$37,0))</f>
        <v>8837.10512820513</v>
      </c>
      <c r="F587" s="7" t="n">
        <f aca="false">MAX(0,(E587-D587)/D587)</f>
        <v>0</v>
      </c>
      <c r="G587" s="7" t="n">
        <f aca="false">MIN(K587*Parâmetros!$B$19,Parâmetros!$B$8)</f>
        <v>0.0244038339849275</v>
      </c>
      <c r="H587" s="3" t="str">
        <f aca="false">IF(F587&gt;=Parâmetros!$B$6,"Ação","Acompanhamento")</f>
        <v>Acompanhamento</v>
      </c>
      <c r="I587" s="17" t="n">
        <v>300.67940552017</v>
      </c>
      <c r="J587" s="11" t="n">
        <f aca="false">D587*I587</f>
        <v>4549868.75265393</v>
      </c>
      <c r="K587" s="7" t="n">
        <f aca="false">Parâmetros!$B$4+Parâmetros!$B$5*F587</f>
        <v>0.02</v>
      </c>
      <c r="L587" s="11" t="n">
        <f aca="false">D587*(1+G587)</f>
        <v>15501.2378925109</v>
      </c>
      <c r="M587" s="14" t="n">
        <v>0</v>
      </c>
      <c r="N587" s="4" t="n">
        <v>0.960526315789474</v>
      </c>
      <c r="O587" s="3" t="str">
        <f aca="false">IF(AND(B587=4,M587=1),IF(N587&lt;0.8,"Subgrupo 7 dias; fronteira de cluster","Subgrupo 7 dias"),IF(N587&lt;0.8,"Fronteira de cluster",""))</f>
        <v/>
      </c>
    </row>
    <row r="588" customFormat="false" ht="15" hidden="false" customHeight="false" outlineLevel="0" collapsed="false">
      <c r="A588" s="14" t="n">
        <v>587</v>
      </c>
      <c r="B588" s="14" t="n">
        <v>1</v>
      </c>
      <c r="C588" s="14" t="s">
        <v>30</v>
      </c>
      <c r="D588" s="15" t="n">
        <v>9663.28571428571</v>
      </c>
      <c r="E588" s="16" t="n">
        <f aca="false">INDEX(Parâmetros!$C$33:$C$37,MATCH(B588,Parâmetros!$A$33:$A$37,0))</f>
        <v>6959.92435130262</v>
      </c>
      <c r="F588" s="7" t="n">
        <f aca="false">MAX(0,(E588-D588)/D588)</f>
        <v>0</v>
      </c>
      <c r="G588" s="7" t="n">
        <f aca="false">MIN(K588*Parâmetros!$B$19,Parâmetros!$B$8)</f>
        <v>0.0244038339849275</v>
      </c>
      <c r="H588" s="3" t="str">
        <f aca="false">IF(F588&gt;=Parâmetros!$B$6,"Ação","Acompanhamento")</f>
        <v>Acompanhamento</v>
      </c>
      <c r="I588" s="17" t="n">
        <v>299.993403693931</v>
      </c>
      <c r="J588" s="11" t="n">
        <f aca="false">D588*I588</f>
        <v>2898921.97229551</v>
      </c>
      <c r="K588" s="7" t="n">
        <f aca="false">Parâmetros!$B$4+Parâmetros!$B$5*F588</f>
        <v>0.02</v>
      </c>
      <c r="L588" s="11" t="n">
        <f aca="false">D588*(1+G588)</f>
        <v>9899.10693460607</v>
      </c>
      <c r="M588" s="14" t="n">
        <v>0</v>
      </c>
      <c r="N588" s="4" t="n">
        <v>1</v>
      </c>
      <c r="O588" s="3" t="str">
        <f aca="false">IF(AND(B588=4,M588=1),IF(N588&lt;0.8,"Subgrupo 7 dias; fronteira de cluster","Subgrupo 7 dias"),IF(N588&lt;0.8,"Fronteira de cluster",""))</f>
        <v/>
      </c>
    </row>
    <row r="589" customFormat="false" ht="15" hidden="false" customHeight="false" outlineLevel="0" collapsed="false">
      <c r="A589" s="14" t="n">
        <v>588</v>
      </c>
      <c r="B589" s="14" t="n">
        <v>1</v>
      </c>
      <c r="C589" s="14" t="s">
        <v>30</v>
      </c>
      <c r="D589" s="15" t="n">
        <v>6154.61096938776</v>
      </c>
      <c r="E589" s="16" t="n">
        <f aca="false">INDEX(Parâmetros!$C$33:$C$37,MATCH(B589,Parâmetros!$A$33:$A$37,0))</f>
        <v>6959.92435130262</v>
      </c>
      <c r="F589" s="7" t="n">
        <f aca="false">MAX(0,(E589-D589)/D589)</f>
        <v>0.130847162545349</v>
      </c>
      <c r="G589" s="7" t="n">
        <f aca="false">MIN(K589*Parâmetros!$B$19,Parâmetros!$B$8)</f>
        <v>0.0643184893868713</v>
      </c>
      <c r="H589" s="3" t="str">
        <f aca="false">IF(F589&gt;=Parâmetros!$B$6,"Ação","Acompanhamento")</f>
        <v>Ação</v>
      </c>
      <c r="I589" s="17" t="n">
        <v>303.779193205945</v>
      </c>
      <c r="J589" s="11" t="n">
        <f aca="false">D589*I589</f>
        <v>1869642.75477707</v>
      </c>
      <c r="K589" s="7" t="n">
        <f aca="false">Parâmetros!$B$4+Parâmetros!$B$5*F589</f>
        <v>0.0527117906363372</v>
      </c>
      <c r="L589" s="11" t="n">
        <f aca="false">D589*(1+G589)</f>
        <v>6550.46624970264</v>
      </c>
      <c r="M589" s="14" t="n">
        <v>0</v>
      </c>
      <c r="N589" s="4" t="n">
        <v>1</v>
      </c>
      <c r="O589" s="3" t="str">
        <f aca="false">IF(AND(B589=4,M589=1),IF(N589&lt;0.8,"Subgrupo 7 dias; fronteira de cluster","Subgrupo 7 dias"),IF(N589&lt;0.8,"Fronteira de cluster",""))</f>
        <v/>
      </c>
    </row>
    <row r="590" customFormat="false" ht="15" hidden="false" customHeight="false" outlineLevel="0" collapsed="false">
      <c r="A590" s="14" t="n">
        <v>589</v>
      </c>
      <c r="B590" s="14" t="n">
        <v>2</v>
      </c>
      <c r="C590" s="14" t="s">
        <v>31</v>
      </c>
      <c r="D590" s="15" t="n">
        <v>4678.80291005291</v>
      </c>
      <c r="E590" s="16" t="n">
        <f aca="false">INDEX(Parâmetros!$C$33:$C$37,MATCH(B590,Parâmetros!$A$33:$A$37,0))</f>
        <v>6324.80102695764</v>
      </c>
      <c r="F590" s="7" t="n">
        <f aca="false">MAX(0,(E590-D590)/D590)</f>
        <v>0.3517989854559</v>
      </c>
      <c r="G590" s="7" t="n">
        <f aca="false">MIN(K590*Parâmetros!$B$19,Parâmetros!$B$8)</f>
        <v>0.131719384449074</v>
      </c>
      <c r="H590" s="3" t="str">
        <f aca="false">IF(F590&gt;=Parâmetros!$B$6,"Ação","Acompanhamento")</f>
        <v>Ação</v>
      </c>
      <c r="I590" s="17" t="n">
        <v>293.317409766454</v>
      </c>
      <c r="J590" s="11" t="n">
        <f aca="false">D590*I590</f>
        <v>1372374.35038447</v>
      </c>
      <c r="K590" s="7" t="n">
        <f aca="false">Parâmetros!$B$4+Parâmetros!$B$5*F590</f>
        <v>0.107949746363975</v>
      </c>
      <c r="L590" s="11" t="n">
        <f aca="false">D590*(1+G590)</f>
        <v>5295.09194932361</v>
      </c>
      <c r="M590" s="14" t="n">
        <v>0</v>
      </c>
      <c r="N590" s="4" t="n">
        <v>0.925</v>
      </c>
      <c r="O590" s="3" t="str">
        <f aca="false">IF(AND(B590=4,M590=1),IF(N590&lt;0.8,"Subgrupo 7 dias; fronteira de cluster","Subgrupo 7 dias"),IF(N590&lt;0.8,"Fronteira de cluster",""))</f>
        <v/>
      </c>
    </row>
    <row r="591" customFormat="false" ht="15" hidden="false" customHeight="false" outlineLevel="0" collapsed="false">
      <c r="A591" s="14" t="n">
        <v>590</v>
      </c>
      <c r="B591" s="14" t="n">
        <v>1</v>
      </c>
      <c r="C591" s="14" t="s">
        <v>30</v>
      </c>
      <c r="D591" s="15" t="n">
        <v>4984.16988416988</v>
      </c>
      <c r="E591" s="16" t="n">
        <f aca="false">INDEX(Parâmetros!$C$33:$C$37,MATCH(B591,Parâmetros!$A$33:$A$37,0))</f>
        <v>6959.92435130262</v>
      </c>
      <c r="F591" s="7" t="n">
        <f aca="false">MAX(0,(E591-D591)/D591)</f>
        <v>0.396405923764334</v>
      </c>
      <c r="G591" s="7" t="n">
        <f aca="false">MIN(K591*Parâmetros!$B$19,Parâmetros!$B$8)</f>
        <v>0.14532663841226</v>
      </c>
      <c r="H591" s="3" t="str">
        <f aca="false">IF(F591&gt;=Parâmetros!$B$6,"Ação","Acompanhamento")</f>
        <v>Ação</v>
      </c>
      <c r="I591" s="17" t="n">
        <v>301.066878980892</v>
      </c>
      <c r="J591" s="11" t="n">
        <f aca="false">D591*I591</f>
        <v>1500568.47133758</v>
      </c>
      <c r="K591" s="7" t="n">
        <f aca="false">Parâmetros!$B$4+Parâmetros!$B$5*F591</f>
        <v>0.119101480941084</v>
      </c>
      <c r="L591" s="11" t="n">
        <f aca="false">D591*(1+G591)</f>
        <v>5708.50253871192</v>
      </c>
      <c r="M591" s="14" t="n">
        <v>0</v>
      </c>
      <c r="N591" s="4" t="n">
        <v>1</v>
      </c>
      <c r="O591" s="3" t="str">
        <f aca="false">IF(AND(B591=4,M591=1),IF(N591&lt;0.8,"Subgrupo 7 dias; fronteira de cluster","Subgrupo 7 dias"),IF(N591&lt;0.8,"Fronteira de cluster",""))</f>
        <v/>
      </c>
    </row>
    <row r="592" customFormat="false" ht="15" hidden="false" customHeight="false" outlineLevel="0" collapsed="false">
      <c r="A592" s="14" t="n">
        <v>591</v>
      </c>
      <c r="B592" s="14" t="n">
        <v>1</v>
      </c>
      <c r="C592" s="14" t="s">
        <v>30</v>
      </c>
      <c r="D592" s="15" t="n">
        <v>5700.70527670528</v>
      </c>
      <c r="E592" s="16" t="n">
        <f aca="false">INDEX(Parâmetros!$C$33:$C$37,MATCH(B592,Parâmetros!$A$33:$A$37,0))</f>
        <v>6959.92435130262</v>
      </c>
      <c r="F592" s="7" t="n">
        <f aca="false">MAX(0,(E592-D592)/D592)</f>
        <v>0.22088829600486</v>
      </c>
      <c r="G592" s="7" t="n">
        <f aca="false">MIN(K592*Parâmetros!$B$19,Parâmetros!$B$8)</f>
        <v>0.091785350296379</v>
      </c>
      <c r="H592" s="3" t="str">
        <f aca="false">IF(F592&gt;=Parâmetros!$B$6,"Ação","Acompanhamento")</f>
        <v>Ação</v>
      </c>
      <c r="I592" s="17" t="n">
        <v>301.066878980892</v>
      </c>
      <c r="J592" s="11" t="n">
        <f aca="false">D592*I592</f>
        <v>1716293.54564756</v>
      </c>
      <c r="K592" s="7" t="n">
        <f aca="false">Parâmetros!$B$4+Parâmetros!$B$5*F592</f>
        <v>0.0752220740012151</v>
      </c>
      <c r="L592" s="11" t="n">
        <f aca="false">D592*(1+G592)</f>
        <v>6223.94650746409</v>
      </c>
      <c r="M592" s="14" t="n">
        <v>0</v>
      </c>
      <c r="N592" s="4" t="n">
        <v>1</v>
      </c>
      <c r="O592" s="3" t="str">
        <f aca="false">IF(AND(B592=4,M592=1),IF(N592&lt;0.8,"Subgrupo 7 dias; fronteira de cluster","Subgrupo 7 dias"),IF(N592&lt;0.8,"Fronteira de cluster",""))</f>
        <v/>
      </c>
    </row>
    <row r="593" customFormat="false" ht="15" hidden="false" customHeight="false" outlineLevel="0" collapsed="false">
      <c r="A593" s="14" t="n">
        <v>592</v>
      </c>
      <c r="B593" s="14" t="n">
        <v>0</v>
      </c>
      <c r="C593" s="14" t="s">
        <v>29</v>
      </c>
      <c r="D593" s="15" t="n">
        <v>4448.5109114249</v>
      </c>
      <c r="E593" s="16" t="n">
        <f aca="false">INDEX(Parâmetros!$C$33:$C$37,MATCH(B593,Parâmetros!$A$33:$A$37,0))</f>
        <v>5476.37033462034</v>
      </c>
      <c r="F593" s="7" t="n">
        <f aca="false">MAX(0,(E593-D593)/D593)</f>
        <v>0.231056963478639</v>
      </c>
      <c r="G593" s="7" t="n">
        <f aca="false">MIN(K593*Parâmetros!$B$19,Parâmetros!$B$8)</f>
        <v>0.0948872812073543</v>
      </c>
      <c r="H593" s="3" t="str">
        <f aca="false">IF(F593&gt;=Parâmetros!$B$6,"Ação","Acompanhamento")</f>
        <v>Ação</v>
      </c>
      <c r="I593" s="17" t="n">
        <v>301.841825902336</v>
      </c>
      <c r="J593" s="11" t="n">
        <f aca="false">D593*I593</f>
        <v>1342746.65605096</v>
      </c>
      <c r="K593" s="7" t="n">
        <f aca="false">Parâmetros!$B$4+Parâmetros!$B$5*F593</f>
        <v>0.0777642408696597</v>
      </c>
      <c r="L593" s="11" t="n">
        <f aca="false">D593*(1+G593)</f>
        <v>4870.61801723126</v>
      </c>
      <c r="M593" s="14" t="n">
        <v>0</v>
      </c>
      <c r="N593" s="4" t="n">
        <v>1</v>
      </c>
      <c r="O593" s="3" t="str">
        <f aca="false">IF(AND(B593=4,M593=1),IF(N593&lt;0.8,"Subgrupo 7 dias; fronteira de cluster","Subgrupo 7 dias"),IF(N593&lt;0.8,"Fronteira de cluster",""))</f>
        <v/>
      </c>
    </row>
    <row r="594" customFormat="false" ht="15" hidden="false" customHeight="false" outlineLevel="0" collapsed="false">
      <c r="A594" s="14" t="n">
        <v>593</v>
      </c>
      <c r="B594" s="14" t="n">
        <v>1</v>
      </c>
      <c r="C594" s="14" t="s">
        <v>30</v>
      </c>
      <c r="D594" s="15" t="n">
        <v>9507.95663265306</v>
      </c>
      <c r="E594" s="16" t="n">
        <f aca="false">INDEX(Parâmetros!$C$33:$C$37,MATCH(B594,Parâmetros!$A$33:$A$37,0))</f>
        <v>6959.92435130262</v>
      </c>
      <c r="F594" s="7" t="n">
        <f aca="false">MAX(0,(E594-D594)/D594)</f>
        <v>0</v>
      </c>
      <c r="G594" s="7" t="n">
        <f aca="false">MIN(K594*Parâmetros!$B$19,Parâmetros!$B$8)</f>
        <v>0.0244038339849275</v>
      </c>
      <c r="H594" s="3" t="str">
        <f aca="false">IF(F594&gt;=Parâmetros!$B$6,"Ação","Acompanhamento")</f>
        <v>Acompanhamento</v>
      </c>
      <c r="I594" s="17" t="n">
        <v>303.779193205945</v>
      </c>
      <c r="J594" s="11" t="n">
        <f aca="false">D594*I594</f>
        <v>2888319.39490446</v>
      </c>
      <c r="K594" s="7" t="n">
        <f aca="false">Parâmetros!$B$4+Parâmetros!$B$5*F594</f>
        <v>0.02</v>
      </c>
      <c r="L594" s="11" t="n">
        <f aca="false">D594*(1+G594)</f>
        <v>9739.98722785222</v>
      </c>
      <c r="M594" s="14" t="n">
        <v>0</v>
      </c>
      <c r="N594" s="4" t="n">
        <v>0.975308641975309</v>
      </c>
      <c r="O594" s="3" t="str">
        <f aca="false">IF(AND(B594=4,M594=1),IF(N594&lt;0.8,"Subgrupo 7 dias; fronteira de cluster","Subgrupo 7 dias"),IF(N594&lt;0.8,"Fronteira de cluster",""))</f>
        <v/>
      </c>
    </row>
    <row r="595" customFormat="false" ht="15" hidden="false" customHeight="false" outlineLevel="0" collapsed="false">
      <c r="A595" s="14" t="n">
        <v>594</v>
      </c>
      <c r="B595" s="14" t="n">
        <v>0</v>
      </c>
      <c r="C595" s="14" t="s">
        <v>29</v>
      </c>
      <c r="D595" s="15" t="n">
        <v>4155.86607142857</v>
      </c>
      <c r="E595" s="16" t="n">
        <f aca="false">INDEX(Parâmetros!$C$33:$C$37,MATCH(B595,Parâmetros!$A$33:$A$37,0))</f>
        <v>5476.37033462034</v>
      </c>
      <c r="F595" s="7" t="n">
        <f aca="false">MAX(0,(E595-D595)/D595)</f>
        <v>0.317744662723898</v>
      </c>
      <c r="G595" s="7" t="n">
        <f aca="false">MIN(K595*Parâmetros!$B$19,Parâmetros!$B$8)</f>
        <v>0.121331183968812</v>
      </c>
      <c r="H595" s="3" t="str">
        <f aca="false">IF(F595&gt;=Parâmetros!$B$6,"Ação","Acompanhamento")</f>
        <v>Ação</v>
      </c>
      <c r="I595" s="17" t="n">
        <v>303.779193205945</v>
      </c>
      <c r="J595" s="11" t="n">
        <f aca="false">D595*I595</f>
        <v>1262465.64225053</v>
      </c>
      <c r="K595" s="7" t="n">
        <f aca="false">Parâmetros!$B$4+Parâmetros!$B$5*F595</f>
        <v>0.0994361656809746</v>
      </c>
      <c r="L595" s="11" t="n">
        <f aca="false">D595*(1+G595)</f>
        <v>4660.10222229082</v>
      </c>
      <c r="M595" s="14" t="n">
        <v>0</v>
      </c>
      <c r="N595" s="4" t="n">
        <v>1</v>
      </c>
      <c r="O595" s="3" t="str">
        <f aca="false">IF(AND(B595=4,M595=1),IF(N595&lt;0.8,"Subgrupo 7 dias; fronteira de cluster","Subgrupo 7 dias"),IF(N595&lt;0.8,"Fronteira de cluster",""))</f>
        <v/>
      </c>
    </row>
    <row r="596" customFormat="false" ht="15" hidden="false" customHeight="false" outlineLevel="0" collapsed="false">
      <c r="A596" s="14" t="n">
        <v>595</v>
      </c>
      <c r="B596" s="14" t="n">
        <v>4</v>
      </c>
      <c r="C596" s="14" t="s">
        <v>33</v>
      </c>
      <c r="D596" s="15" t="n">
        <v>15019.1096938776</v>
      </c>
      <c r="E596" s="16" t="n">
        <f aca="false">INDEX(Parâmetros!$C$33:$C$37,MATCH(B596,Parâmetros!$A$33:$A$37,0))</f>
        <v>8837.10512820513</v>
      </c>
      <c r="F596" s="7" t="n">
        <f aca="false">MAX(0,(E596-D596)/D596)</f>
        <v>0</v>
      </c>
      <c r="G596" s="7" t="n">
        <f aca="false">MIN(K596*Parâmetros!$B$19,Parâmetros!$B$8)</f>
        <v>0.0244038339849275</v>
      </c>
      <c r="H596" s="3" t="str">
        <f aca="false">IF(F596&gt;=Parâmetros!$B$6,"Ação","Acompanhamento")</f>
        <v>Acompanhamento</v>
      </c>
      <c r="I596" s="17" t="n">
        <v>303.779193205945</v>
      </c>
      <c r="J596" s="11" t="n">
        <f aca="false">D596*I596</f>
        <v>4562493.02547771</v>
      </c>
      <c r="K596" s="7" t="n">
        <f aca="false">Parâmetros!$B$4+Parâmetros!$B$5*F596</f>
        <v>0.02</v>
      </c>
      <c r="L596" s="11" t="n">
        <f aca="false">D596*(1+G596)</f>
        <v>15385.6335534484</v>
      </c>
      <c r="M596" s="14" t="n">
        <v>0</v>
      </c>
      <c r="N596" s="4" t="n">
        <v>0.9875</v>
      </c>
      <c r="O596" s="3" t="str">
        <f aca="false">IF(AND(B596=4,M596=1),IF(N596&lt;0.8,"Subgrupo 7 dias; fronteira de cluster","Subgrupo 7 dias"),IF(N596&lt;0.8,"Fronteira de cluster",""))</f>
        <v/>
      </c>
    </row>
    <row r="597" customFormat="false" ht="15" hidden="false" customHeight="false" outlineLevel="0" collapsed="false">
      <c r="A597" s="14" t="n">
        <v>596</v>
      </c>
      <c r="B597" s="14" t="n">
        <v>0</v>
      </c>
      <c r="C597" s="14" t="s">
        <v>29</v>
      </c>
      <c r="D597" s="15" t="n">
        <v>4505.81887755102</v>
      </c>
      <c r="E597" s="16" t="n">
        <f aca="false">INDEX(Parâmetros!$C$33:$C$37,MATCH(B597,Parâmetros!$A$33:$A$37,0))</f>
        <v>5476.37033462034</v>
      </c>
      <c r="F597" s="7" t="n">
        <f aca="false">MAX(0,(E597-D597)/D597)</f>
        <v>0.21539957185248</v>
      </c>
      <c r="G597" s="7" t="n">
        <f aca="false">MIN(K597*Parâmetros!$B$19,Parâmetros!$B$8)</f>
        <v>0.0901110263838323</v>
      </c>
      <c r="H597" s="3" t="str">
        <f aca="false">IF(F597&gt;=Parâmetros!$B$6,"Ação","Acompanhamento")</f>
        <v>Ação</v>
      </c>
      <c r="I597" s="17" t="n">
        <v>303.779193205945</v>
      </c>
      <c r="J597" s="11" t="n">
        <f aca="false">D597*I597</f>
        <v>1368774.02335456</v>
      </c>
      <c r="K597" s="7" t="n">
        <f aca="false">Parâmetros!$B$4+Parâmetros!$B$5*F597</f>
        <v>0.0738498929631201</v>
      </c>
      <c r="L597" s="11" t="n">
        <f aca="false">D597*(1+G597)</f>
        <v>4911.84284130679</v>
      </c>
      <c r="M597" s="14" t="n">
        <v>0</v>
      </c>
      <c r="N597" s="4" t="n">
        <v>0.74390243902439</v>
      </c>
      <c r="O597" s="3" t="str">
        <f aca="false">IF(AND(B597=4,M597=1),IF(N597&lt;0.8,"Subgrupo 7 dias; fronteira de cluster","Subgrupo 7 dias"),IF(N597&lt;0.8,"Fronteira de cluster",""))</f>
        <v>Fronteira de cluster</v>
      </c>
    </row>
    <row r="598" customFormat="false" ht="15" hidden="false" customHeight="false" outlineLevel="0" collapsed="false">
      <c r="A598" s="14" t="n">
        <v>597</v>
      </c>
      <c r="B598" s="14" t="n">
        <v>0</v>
      </c>
      <c r="C598" s="14" t="s">
        <v>29</v>
      </c>
      <c r="D598" s="15" t="n">
        <v>5080.22464698331</v>
      </c>
      <c r="E598" s="16" t="n">
        <f aca="false">INDEX(Parâmetros!$C$33:$C$37,MATCH(B598,Parâmetros!$A$33:$A$37,0))</f>
        <v>5476.37033462034</v>
      </c>
      <c r="F598" s="7" t="n">
        <f aca="false">MAX(0,(E598-D598)/D598)</f>
        <v>0.0779779862436316</v>
      </c>
      <c r="G598" s="7" t="n">
        <f aca="false">MIN(K598*Parâmetros!$B$19,Parâmetros!$B$8)</f>
        <v>0.0481908568695342</v>
      </c>
      <c r="H598" s="3" t="str">
        <f aca="false">IF(F598&gt;=Parâmetros!$B$6,"Ação","Acompanhamento")</f>
        <v>Acompanhamento</v>
      </c>
      <c r="I598" s="17" t="n">
        <v>301.841825902336</v>
      </c>
      <c r="J598" s="11" t="n">
        <f aca="false">D598*I598</f>
        <v>1533424.28343949</v>
      </c>
      <c r="K598" s="7" t="n">
        <f aca="false">Parâmetros!$B$4+Parâmetros!$B$5*F598</f>
        <v>0.0394944965609079</v>
      </c>
      <c r="L598" s="11" t="n">
        <f aca="false">D598*(1+G598)</f>
        <v>5325.04502581116</v>
      </c>
      <c r="M598" s="14" t="n">
        <v>0</v>
      </c>
      <c r="N598" s="4" t="n">
        <v>0.75</v>
      </c>
      <c r="O598" s="3" t="str">
        <f aca="false">IF(AND(B598=4,M598=1),IF(N598&lt;0.8,"Subgrupo 7 dias; fronteira de cluster","Subgrupo 7 dias"),IF(N598&lt;0.8,"Fronteira de cluster",""))</f>
        <v>Fronteira de cluster</v>
      </c>
    </row>
    <row r="599" customFormat="false" ht="15" hidden="false" customHeight="false" outlineLevel="0" collapsed="false">
      <c r="A599" s="14" t="n">
        <v>598</v>
      </c>
      <c r="B599" s="14" t="n">
        <v>4</v>
      </c>
      <c r="C599" s="14" t="s">
        <v>33</v>
      </c>
      <c r="D599" s="15" t="n">
        <v>5892.29260450161</v>
      </c>
      <c r="E599" s="16" t="n">
        <f aca="false">INDEX(Parâmetros!$C$33:$C$37,MATCH(B599,Parâmetros!$A$33:$A$37,0))</f>
        <v>8837.10512820513</v>
      </c>
      <c r="F599" s="7" t="n">
        <f aca="false">MAX(0,(E599-D599)/D599)</f>
        <v>0.499773640136903</v>
      </c>
      <c r="G599" s="7" t="n">
        <f aca="false">MIN(K599*Parâmetros!$B$19,Parâmetros!$B$8)</f>
        <v>0.176858745784226</v>
      </c>
      <c r="H599" s="3" t="str">
        <f aca="false">IF(F599&gt;=Parâmetros!$B$6,"Ação","Acompanhamento")</f>
        <v>Ação</v>
      </c>
      <c r="I599" s="17" t="n">
        <v>299.511873350924</v>
      </c>
      <c r="J599" s="11" t="n">
        <f aca="false">D599*I599</f>
        <v>1764811.59630607</v>
      </c>
      <c r="K599" s="7" t="n">
        <f aca="false">Parâmetros!$B$4+Parâmetros!$B$5*F599</f>
        <v>0.144943410034226</v>
      </c>
      <c r="L599" s="11" t="n">
        <f aca="false">D599*(1+G599)</f>
        <v>6934.39608432743</v>
      </c>
      <c r="M599" s="14" t="n">
        <v>0</v>
      </c>
      <c r="N599" s="4" t="n">
        <v>1</v>
      </c>
      <c r="O599" s="3" t="str">
        <f aca="false">IF(AND(B599=4,M599=1),IF(N599&lt;0.8,"Subgrupo 7 dias; fronteira de cluster","Subgrupo 7 dias"),IF(N599&lt;0.8,"Fronteira de cluster",""))</f>
        <v/>
      </c>
    </row>
    <row r="600" customFormat="false" ht="15" hidden="false" customHeight="false" outlineLevel="0" collapsed="false">
      <c r="A600" s="14" t="n">
        <v>599</v>
      </c>
      <c r="B600" s="14" t="n">
        <v>4</v>
      </c>
      <c r="C600" s="14" t="s">
        <v>33</v>
      </c>
      <c r="D600" s="15" t="n">
        <v>9769.72704081633</v>
      </c>
      <c r="E600" s="16" t="n">
        <f aca="false">INDEX(Parâmetros!$C$33:$C$37,MATCH(B600,Parâmetros!$A$33:$A$37,0))</f>
        <v>8837.10512820513</v>
      </c>
      <c r="F600" s="7" t="n">
        <f aca="false">MAX(0,(E600-D600)/D600)</f>
        <v>0</v>
      </c>
      <c r="G600" s="7" t="n">
        <f aca="false">MIN(K600*Parâmetros!$B$19,Parâmetros!$B$8)</f>
        <v>0.0244038339849275</v>
      </c>
      <c r="H600" s="3" t="str">
        <f aca="false">IF(F600&gt;=Parâmetros!$B$6,"Ação","Acompanhamento")</f>
        <v>Acompanhamento</v>
      </c>
      <c r="I600" s="17" t="n">
        <v>303.779193205945</v>
      </c>
      <c r="J600" s="11" t="n">
        <f aca="false">D600*I600</f>
        <v>2967839.79830149</v>
      </c>
      <c r="K600" s="7" t="n">
        <f aca="false">Parâmetros!$B$4+Parâmetros!$B$5*F600</f>
        <v>0.02</v>
      </c>
      <c r="L600" s="11" t="n">
        <f aca="false">D600*(1+G600)</f>
        <v>10008.1458375985</v>
      </c>
      <c r="M600" s="14" t="n">
        <v>0</v>
      </c>
      <c r="N600" s="4" t="n">
        <v>1</v>
      </c>
      <c r="O600" s="3" t="str">
        <f aca="false">IF(AND(B600=4,M600=1),IF(N600&lt;0.8,"Subgrupo 7 dias; fronteira de cluster","Subgrupo 7 dias"),IF(N600&lt;0.8,"Fronteira de cluster",""))</f>
        <v/>
      </c>
    </row>
    <row r="601" customFormat="false" ht="15" hidden="false" customHeight="false" outlineLevel="0" collapsed="false">
      <c r="A601" s="14" t="n">
        <v>600</v>
      </c>
      <c r="B601" s="14" t="n">
        <v>1</v>
      </c>
      <c r="C601" s="14" t="s">
        <v>30</v>
      </c>
      <c r="D601" s="15" t="n">
        <v>6996.61734693878</v>
      </c>
      <c r="E601" s="16" t="n">
        <f aca="false">INDEX(Parâmetros!$C$33:$C$37,MATCH(B601,Parâmetros!$A$33:$A$37,0))</f>
        <v>6959.92435130262</v>
      </c>
      <c r="F601" s="7" t="n">
        <f aca="false">MAX(0,(E601-D601)/D601)</f>
        <v>0</v>
      </c>
      <c r="G601" s="7" t="n">
        <f aca="false">MIN(K601*Parâmetros!$B$19,Parâmetros!$B$8)</f>
        <v>0.0244038339849275</v>
      </c>
      <c r="H601" s="3" t="str">
        <f aca="false">IF(F601&gt;=Parâmetros!$B$6,"Ação","Acompanhamento")</f>
        <v>Acompanhamento</v>
      </c>
      <c r="I601" s="17" t="n">
        <v>303.779193205945</v>
      </c>
      <c r="J601" s="11" t="n">
        <f aca="false">D601*I601</f>
        <v>2125426.77282378</v>
      </c>
      <c r="K601" s="7" t="n">
        <f aca="false">Parâmetros!$B$4+Parâmetros!$B$5*F601</f>
        <v>0.02</v>
      </c>
      <c r="L601" s="11" t="n">
        <f aca="false">D601*(1+G601)</f>
        <v>7167.36163512953</v>
      </c>
      <c r="M601" s="14" t="n">
        <v>0</v>
      </c>
      <c r="N601" s="4" t="n">
        <v>1</v>
      </c>
      <c r="O601" s="3" t="str">
        <f aca="false">IF(AND(B601=4,M601=1),IF(N601&lt;0.8,"Subgrupo 7 dias; fronteira de cluster","Subgrupo 7 dias"),IF(N601&lt;0.8,"Fronteira de cluster",""))</f>
        <v/>
      </c>
    </row>
    <row r="602" customFormat="false" ht="15" hidden="false" customHeight="false" outlineLevel="0" collapsed="false">
      <c r="A602" s="14" t="n">
        <v>601</v>
      </c>
      <c r="B602" s="14" t="n">
        <v>1</v>
      </c>
      <c r="C602" s="14" t="s">
        <v>30</v>
      </c>
      <c r="D602" s="15" t="n">
        <v>4875.7695262484</v>
      </c>
      <c r="E602" s="16" t="n">
        <f aca="false">INDEX(Parâmetros!$C$33:$C$37,MATCH(B602,Parâmetros!$A$33:$A$37,0))</f>
        <v>6959.92435130262</v>
      </c>
      <c r="F602" s="7" t="n">
        <f aca="false">MAX(0,(E602-D602)/D602)</f>
        <v>0.427451464601496</v>
      </c>
      <c r="G602" s="7" t="n">
        <f aca="false">MIN(K602*Parâmetros!$B$19,Parâmetros!$B$8)</f>
        <v>0.15479701621929</v>
      </c>
      <c r="H602" s="3" t="str">
        <f aca="false">IF(F602&gt;=Parâmetros!$B$6,"Ação","Acompanhamento")</f>
        <v>Ação</v>
      </c>
      <c r="I602" s="17" t="n">
        <v>302.616772823779</v>
      </c>
      <c r="J602" s="11" t="n">
        <f aca="false">D602*I602</f>
        <v>1475489.63906582</v>
      </c>
      <c r="K602" s="7" t="n">
        <f aca="false">Parâmetros!$B$4+Parâmetros!$B$5*F602</f>
        <v>0.126862866150374</v>
      </c>
      <c r="L602" s="11" t="n">
        <f aca="false">D602*(1+G602)</f>
        <v>5630.52410068459</v>
      </c>
      <c r="M602" s="14" t="n">
        <v>0</v>
      </c>
      <c r="N602" s="4" t="n">
        <v>1</v>
      </c>
      <c r="O602" s="3" t="str">
        <f aca="false">IF(AND(B602=4,M602=1),IF(N602&lt;0.8,"Subgrupo 7 dias; fronteira de cluster","Subgrupo 7 dias"),IF(N602&lt;0.8,"Fronteira de cluster",""))</f>
        <v/>
      </c>
    </row>
    <row r="603" customFormat="false" ht="15" hidden="false" customHeight="false" outlineLevel="0" collapsed="false">
      <c r="A603" s="14" t="n">
        <v>602</v>
      </c>
      <c r="B603" s="14" t="n">
        <v>1</v>
      </c>
      <c r="C603" s="14" t="s">
        <v>30</v>
      </c>
      <c r="D603" s="15" t="n">
        <v>6300.16773367478</v>
      </c>
      <c r="E603" s="16" t="n">
        <f aca="false">INDEX(Parâmetros!$C$33:$C$37,MATCH(B603,Parâmetros!$A$33:$A$37,0))</f>
        <v>6959.92435130262</v>
      </c>
      <c r="F603" s="7" t="n">
        <f aca="false">MAX(0,(E603-D603)/D603)</f>
        <v>0.104720484520024</v>
      </c>
      <c r="G603" s="7" t="n">
        <f aca="false">MIN(K603*Parâmetros!$B$19,Parâmetros!$B$8)</f>
        <v>0.0563486004730254</v>
      </c>
      <c r="H603" s="3" t="str">
        <f aca="false">IF(F603&gt;=Parâmetros!$B$6,"Ação","Acompanhamento")</f>
        <v>Ação</v>
      </c>
      <c r="I603" s="17" t="n">
        <v>302.616772823779</v>
      </c>
      <c r="J603" s="11" t="n">
        <f aca="false">D603*I603</f>
        <v>1906536.42781316</v>
      </c>
      <c r="K603" s="7" t="n">
        <f aca="false">Parâmetros!$B$4+Parâmetros!$B$5*F603</f>
        <v>0.046180121130006</v>
      </c>
      <c r="L603" s="11" t="n">
        <f aca="false">D603*(1+G603)</f>
        <v>6655.17336821266</v>
      </c>
      <c r="M603" s="14" t="n">
        <v>0</v>
      </c>
      <c r="N603" s="4" t="n">
        <v>1</v>
      </c>
      <c r="O603" s="3" t="str">
        <f aca="false">IF(AND(B603=4,M603=1),IF(N603&lt;0.8,"Subgrupo 7 dias; fronteira de cluster","Subgrupo 7 dias"),IF(N603&lt;0.8,"Fronteira de cluster",""))</f>
        <v/>
      </c>
    </row>
    <row r="604" customFormat="false" ht="15" hidden="false" customHeight="false" outlineLevel="0" collapsed="false">
      <c r="A604" s="14" t="n">
        <v>603</v>
      </c>
      <c r="B604" s="14" t="n">
        <v>0</v>
      </c>
      <c r="C604" s="14" t="s">
        <v>29</v>
      </c>
      <c r="D604" s="15" t="n">
        <v>6933.31413612566</v>
      </c>
      <c r="E604" s="16" t="n">
        <f aca="false">INDEX(Parâmetros!$C$33:$C$37,MATCH(B604,Parâmetros!$A$33:$A$37,0))</f>
        <v>5476.37033462034</v>
      </c>
      <c r="F604" s="7" t="n">
        <f aca="false">MAX(0,(E604-D604)/D604)</f>
        <v>0</v>
      </c>
      <c r="G604" s="7" t="n">
        <f aca="false">MIN(K604*Parâmetros!$B$19,Parâmetros!$B$8)</f>
        <v>0.0244038339849275</v>
      </c>
      <c r="H604" s="3" t="str">
        <f aca="false">IF(F604&gt;=Parâmetros!$B$6,"Ação","Acompanhamento")</f>
        <v>Acompanhamento</v>
      </c>
      <c r="I604" s="17" t="n">
        <v>296.029723991508</v>
      </c>
      <c r="J604" s="11" t="n">
        <f aca="false">D604*I604</f>
        <v>2052467.0700637</v>
      </c>
      <c r="K604" s="7" t="n">
        <f aca="false">Parâmetros!$B$4+Parâmetros!$B$5*F604</f>
        <v>0.02</v>
      </c>
      <c r="L604" s="11" t="n">
        <f aca="false">D604*(1+G604)</f>
        <v>7102.51358326902</v>
      </c>
      <c r="M604" s="14" t="n">
        <v>0</v>
      </c>
      <c r="N604" s="4" t="n">
        <v>0.951219512195122</v>
      </c>
      <c r="O604" s="3" t="str">
        <f aca="false">IF(AND(B604=4,M604=1),IF(N604&lt;0.8,"Subgrupo 7 dias; fronteira de cluster","Subgrupo 7 dias"),IF(N604&lt;0.8,"Fronteira de cluster",""))</f>
        <v/>
      </c>
    </row>
    <row r="605" customFormat="false" ht="15" hidden="false" customHeight="false" outlineLevel="0" collapsed="false">
      <c r="A605" s="14" t="n">
        <v>604</v>
      </c>
      <c r="B605" s="14" t="n">
        <v>1</v>
      </c>
      <c r="C605" s="14" t="s">
        <v>30</v>
      </c>
      <c r="D605" s="15" t="n">
        <v>7963.98874598071</v>
      </c>
      <c r="E605" s="16" t="n">
        <f aca="false">INDEX(Parâmetros!$C$33:$C$37,MATCH(B605,Parâmetros!$A$33:$A$37,0))</f>
        <v>6959.92435130262</v>
      </c>
      <c r="F605" s="7" t="n">
        <f aca="false">MAX(0,(E605-D605)/D605)</f>
        <v>0</v>
      </c>
      <c r="G605" s="7" t="n">
        <f aca="false">MIN(K605*Parâmetros!$B$19,Parâmetros!$B$8)</f>
        <v>0.0244038339849275</v>
      </c>
      <c r="H605" s="3" t="str">
        <f aca="false">IF(F605&gt;=Parâmetros!$B$6,"Ação","Acompanhamento")</f>
        <v>Acompanhamento</v>
      </c>
      <c r="I605" s="17" t="n">
        <v>299.511873350924</v>
      </c>
      <c r="J605" s="11" t="n">
        <f aca="false">D605*I605</f>
        <v>2385309.18865435</v>
      </c>
      <c r="K605" s="7" t="n">
        <f aca="false">Parâmetros!$B$4+Parâmetros!$B$5*F605</f>
        <v>0.02</v>
      </c>
      <c r="L605" s="11" t="n">
        <f aca="false">D605*(1+G605)</f>
        <v>8158.34060519545</v>
      </c>
      <c r="M605" s="14" t="n">
        <v>0</v>
      </c>
      <c r="N605" s="4" t="n">
        <v>1</v>
      </c>
      <c r="O605" s="3" t="str">
        <f aca="false">IF(AND(B605=4,M605=1),IF(N605&lt;0.8,"Subgrupo 7 dias; fronteira de cluster","Subgrupo 7 dias"),IF(N605&lt;0.8,"Fronteira de cluster",""))</f>
        <v/>
      </c>
    </row>
    <row r="606" customFormat="false" ht="15" hidden="false" customHeight="false" outlineLevel="0" collapsed="false">
      <c r="A606" s="14" t="n">
        <v>605</v>
      </c>
      <c r="B606" s="14" t="n">
        <v>1</v>
      </c>
      <c r="C606" s="14" t="s">
        <v>30</v>
      </c>
      <c r="D606" s="15" t="n">
        <v>7026.735218509</v>
      </c>
      <c r="E606" s="16" t="n">
        <f aca="false">INDEX(Parâmetros!$C$33:$C$37,MATCH(B606,Parâmetros!$A$33:$A$37,0))</f>
        <v>6959.92435130262</v>
      </c>
      <c r="F606" s="7" t="n">
        <f aca="false">MAX(0,(E606-D606)/D606)</f>
        <v>0</v>
      </c>
      <c r="G606" s="7" t="n">
        <f aca="false">MIN(K606*Parâmetros!$B$19,Parâmetros!$B$8)</f>
        <v>0.0244038339849275</v>
      </c>
      <c r="H606" s="3" t="str">
        <f aca="false">IF(F606&gt;=Parâmetros!$B$6,"Ação","Acompanhamento")</f>
        <v>Acompanhamento</v>
      </c>
      <c r="I606" s="17" t="n">
        <v>301.454352441614</v>
      </c>
      <c r="J606" s="11" t="n">
        <f aca="false">D606*I606</f>
        <v>2118239.91507431</v>
      </c>
      <c r="K606" s="7" t="n">
        <f aca="false">Parâmetros!$B$4+Parâmetros!$B$5*F606</f>
        <v>0.02</v>
      </c>
      <c r="L606" s="11" t="n">
        <f aca="false">D606*(1+G606)</f>
        <v>7198.21449823754</v>
      </c>
      <c r="M606" s="14" t="n">
        <v>0</v>
      </c>
      <c r="N606" s="4" t="n">
        <v>1</v>
      </c>
      <c r="O606" s="3" t="str">
        <f aca="false">IF(AND(B606=4,M606=1),IF(N606&lt;0.8,"Subgrupo 7 dias; fronteira de cluster","Subgrupo 7 dias"),IF(N606&lt;0.8,"Fronteira de cluster",""))</f>
        <v/>
      </c>
    </row>
    <row r="607" customFormat="false" ht="15" hidden="false" customHeight="false" outlineLevel="0" collapsed="false">
      <c r="A607" s="14" t="n">
        <v>606</v>
      </c>
      <c r="B607" s="14" t="n">
        <v>0</v>
      </c>
      <c r="C607" s="14" t="s">
        <v>29</v>
      </c>
      <c r="D607" s="15" t="n">
        <v>5839.21045918367</v>
      </c>
      <c r="E607" s="16" t="n">
        <f aca="false">INDEX(Parâmetros!$C$33:$C$37,MATCH(B607,Parâmetros!$A$33:$A$37,0))</f>
        <v>5476.37033462034</v>
      </c>
      <c r="F607" s="7" t="n">
        <f aca="false">MAX(0,(E607-D607)/D607)</f>
        <v>0</v>
      </c>
      <c r="G607" s="7" t="n">
        <f aca="false">MIN(K607*Parâmetros!$B$19,Parâmetros!$B$8)</f>
        <v>0.0244038339849275</v>
      </c>
      <c r="H607" s="3" t="str">
        <f aca="false">IF(F607&gt;=Parâmetros!$B$6,"Ação","Acompanhamento")</f>
        <v>Acompanhamento</v>
      </c>
      <c r="I607" s="17" t="n">
        <v>303.779193205945</v>
      </c>
      <c r="J607" s="11" t="n">
        <f aca="false">D607*I607</f>
        <v>1773830.64225053</v>
      </c>
      <c r="K607" s="7" t="n">
        <f aca="false">Parâmetros!$B$4+Parâmetros!$B$5*F607</f>
        <v>0.02</v>
      </c>
      <c r="L607" s="11" t="n">
        <f aca="false">D607*(1+G607)</f>
        <v>5981.70958183264</v>
      </c>
      <c r="M607" s="14" t="n">
        <v>0</v>
      </c>
      <c r="N607" s="4" t="n">
        <v>1</v>
      </c>
      <c r="O607" s="3" t="str">
        <f aca="false">IF(AND(B607=4,M607=1),IF(N607&lt;0.8,"Subgrupo 7 dias; fronteira de cluster","Subgrupo 7 dias"),IF(N607&lt;0.8,"Fronteira de cluster",""))</f>
        <v/>
      </c>
    </row>
    <row r="608" customFormat="false" ht="15" hidden="false" customHeight="false" outlineLevel="0" collapsed="false">
      <c r="A608" s="14" t="n">
        <v>607</v>
      </c>
      <c r="B608" s="14" t="n">
        <v>3</v>
      </c>
      <c r="C608" s="14" t="s">
        <v>32</v>
      </c>
      <c r="D608" s="15" t="n">
        <v>3901.9104859335</v>
      </c>
      <c r="E608" s="16" t="n">
        <f aca="false">INDEX(Parâmetros!$C$33:$C$37,MATCH(B608,Parâmetros!$A$33:$A$37,0))</f>
        <v>5909.24487179487</v>
      </c>
      <c r="F608" s="7" t="n">
        <f aca="false">MAX(0,(E608-D608)/D608)</f>
        <v>0.514449112325325</v>
      </c>
      <c r="G608" s="7" t="n">
        <f aca="false">MIN(K608*Parâmetros!$B$19,Parâmetros!$B$8)</f>
        <v>0.181335468120934</v>
      </c>
      <c r="H608" s="3" t="str">
        <f aca="false">IF(F608&gt;=Parâmetros!$B$6,"Ação","Acompanhamento")</f>
        <v>Ação</v>
      </c>
      <c r="I608" s="17" t="n">
        <v>303.004246284501</v>
      </c>
      <c r="J608" s="11" t="n">
        <f aca="false">D608*I608</f>
        <v>1182295.44585987</v>
      </c>
      <c r="K608" s="7" t="n">
        <f aca="false">Parâmetros!$B$4+Parâmetros!$B$5*F608</f>
        <v>0.148612278081331</v>
      </c>
      <c r="L608" s="11" t="n">
        <f aca="false">D608*(1+G608)</f>
        <v>4609.46525046624</v>
      </c>
      <c r="M608" s="14" t="n">
        <v>0</v>
      </c>
      <c r="N608" s="4" t="n">
        <v>1</v>
      </c>
      <c r="O608" s="3" t="str">
        <f aca="false">IF(AND(B608=4,M608=1),IF(N608&lt;0.8,"Subgrupo 7 dias; fronteira de cluster","Subgrupo 7 dias"),IF(N608&lt;0.8,"Fronteira de cluster",""))</f>
        <v/>
      </c>
    </row>
    <row r="609" customFormat="false" ht="15" hidden="false" customHeight="false" outlineLevel="0" collapsed="false">
      <c r="A609" s="14" t="n">
        <v>608</v>
      </c>
      <c r="B609" s="14" t="n">
        <v>3</v>
      </c>
      <c r="C609" s="14" t="s">
        <v>32</v>
      </c>
      <c r="D609" s="15" t="n">
        <v>9326.9717948718</v>
      </c>
      <c r="E609" s="16" t="n">
        <f aca="false">INDEX(Parâmetros!$C$33:$C$37,MATCH(B609,Parâmetros!$A$33:$A$37,0))</f>
        <v>5909.24487179487</v>
      </c>
      <c r="F609" s="7" t="n">
        <f aca="false">MAX(0,(E609-D609)/D609)</f>
        <v>0</v>
      </c>
      <c r="G609" s="7" t="n">
        <f aca="false">MIN(K609*Parâmetros!$B$19,Parâmetros!$B$8)</f>
        <v>0.0244038339849275</v>
      </c>
      <c r="H609" s="3" t="str">
        <f aca="false">IF(F609&gt;=Parâmetros!$B$6,"Ação","Acompanhamento")</f>
        <v>Acompanhamento</v>
      </c>
      <c r="I609" s="17" t="n">
        <v>302.229299363057</v>
      </c>
      <c r="J609" s="11" t="n">
        <f aca="false">D609*I609</f>
        <v>2818884.1507431</v>
      </c>
      <c r="K609" s="7" t="n">
        <f aca="false">Parâmetros!$B$4+Parâmetros!$B$5*F609</f>
        <v>0.02</v>
      </c>
      <c r="L609" s="11" t="n">
        <f aca="false">D609*(1+G609)</f>
        <v>9554.58566613595</v>
      </c>
      <c r="M609" s="14" t="n">
        <v>0</v>
      </c>
      <c r="N609" s="4" t="n">
        <v>1</v>
      </c>
      <c r="O609" s="3" t="str">
        <f aca="false">IF(AND(B609=4,M609=1),IF(N609&lt;0.8,"Subgrupo 7 dias; fronteira de cluster","Subgrupo 7 dias"),IF(N609&lt;0.8,"Fronteira de cluster",""))</f>
        <v/>
      </c>
    </row>
    <row r="610" customFormat="false" ht="15" hidden="false" customHeight="false" outlineLevel="0" collapsed="false">
      <c r="A610" s="14" t="n">
        <v>609</v>
      </c>
      <c r="B610" s="14" t="n">
        <v>0</v>
      </c>
      <c r="C610" s="14" t="s">
        <v>29</v>
      </c>
      <c r="D610" s="15" t="n">
        <v>4638.04846938776</v>
      </c>
      <c r="E610" s="16" t="n">
        <f aca="false">INDEX(Parâmetros!$C$33:$C$37,MATCH(B610,Parâmetros!$A$33:$A$37,0))</f>
        <v>5476.37033462034</v>
      </c>
      <c r="F610" s="7" t="n">
        <f aca="false">MAX(0,(E610-D610)/D610)</f>
        <v>0.180748836663892</v>
      </c>
      <c r="G610" s="7" t="n">
        <f aca="false">MIN(K610*Parâmetros!$B$19,Parâmetros!$B$8)</f>
        <v>0.0795408915213572</v>
      </c>
      <c r="H610" s="3" t="str">
        <f aca="false">IF(F610&gt;=Parâmetros!$B$6,"Ação","Acompanhamento")</f>
        <v>Ação</v>
      </c>
      <c r="I610" s="17" t="n">
        <v>303.779193205945</v>
      </c>
      <c r="J610" s="11" t="n">
        <f aca="false">D610*I610</f>
        <v>1408942.62208068</v>
      </c>
      <c r="K610" s="7" t="n">
        <f aca="false">Parâmetros!$B$4+Parâmetros!$B$5*F610</f>
        <v>0.0651872091659729</v>
      </c>
      <c r="L610" s="11" t="n">
        <f aca="false">D610*(1+G610)</f>
        <v>5006.96297956212</v>
      </c>
      <c r="M610" s="14" t="n">
        <v>0</v>
      </c>
      <c r="N610" s="4" t="n">
        <v>1</v>
      </c>
      <c r="O610" s="3" t="str">
        <f aca="false">IF(AND(B610=4,M610=1),IF(N610&lt;0.8,"Subgrupo 7 dias; fronteira de cluster","Subgrupo 7 dias"),IF(N610&lt;0.8,"Fronteira de cluster",""))</f>
        <v/>
      </c>
    </row>
    <row r="611" customFormat="false" ht="15" hidden="false" customHeight="false" outlineLevel="0" collapsed="false">
      <c r="A611" s="14" t="n">
        <v>610</v>
      </c>
      <c r="B611" s="14" t="n">
        <v>0</v>
      </c>
      <c r="C611" s="14" t="s">
        <v>29</v>
      </c>
      <c r="D611" s="15" t="n">
        <v>4197.63029525032</v>
      </c>
      <c r="E611" s="16" t="n">
        <f aca="false">INDEX(Parâmetros!$C$33:$C$37,MATCH(B611,Parâmetros!$A$33:$A$37,0))</f>
        <v>5476.37033462034</v>
      </c>
      <c r="F611" s="7" t="n">
        <f aca="false">MAX(0,(E611-D611)/D611)</f>
        <v>0.304633793218266</v>
      </c>
      <c r="G611" s="7" t="n">
        <f aca="false">MIN(K611*Parâmetros!$B$19,Parâmetros!$B$8)</f>
        <v>0.117331740433643</v>
      </c>
      <c r="H611" s="3" t="str">
        <f aca="false">IF(F611&gt;=Parâmetros!$B$6,"Ação","Acompanhamento")</f>
        <v>Ação</v>
      </c>
      <c r="I611" s="17" t="n">
        <v>301.841825902336</v>
      </c>
      <c r="J611" s="11" t="n">
        <f aca="false">D611*I611</f>
        <v>1267020.39278132</v>
      </c>
      <c r="K611" s="7" t="n">
        <f aca="false">Parâmetros!$B$4+Parâmetros!$B$5*F611</f>
        <v>0.0961584483045664</v>
      </c>
      <c r="L611" s="11" t="n">
        <f aca="false">D611*(1+G611)</f>
        <v>4690.14556348903</v>
      </c>
      <c r="M611" s="14" t="n">
        <v>0</v>
      </c>
      <c r="N611" s="4" t="n">
        <v>1</v>
      </c>
      <c r="O611" s="3" t="str">
        <f aca="false">IF(AND(B611=4,M611=1),IF(N611&lt;0.8,"Subgrupo 7 dias; fronteira de cluster","Subgrupo 7 dias"),IF(N611&lt;0.8,"Fronteira de cluster",""))</f>
        <v/>
      </c>
    </row>
    <row r="612" customFormat="false" ht="15" hidden="false" customHeight="false" outlineLevel="0" collapsed="false">
      <c r="A612" s="14" t="n">
        <v>611</v>
      </c>
      <c r="B612" s="14" t="n">
        <v>1</v>
      </c>
      <c r="C612" s="14" t="s">
        <v>30</v>
      </c>
      <c r="D612" s="15" t="n">
        <v>5792.3038585209</v>
      </c>
      <c r="E612" s="16" t="n">
        <f aca="false">INDEX(Parâmetros!$C$33:$C$37,MATCH(B612,Parâmetros!$A$33:$A$37,0))</f>
        <v>6959.92435130262</v>
      </c>
      <c r="F612" s="7" t="n">
        <f aca="false">MAX(0,(E612-D612)/D612)</f>
        <v>0.201581360595243</v>
      </c>
      <c r="G612" s="7" t="n">
        <f aca="false">MIN(K612*Parâmetros!$B$19,Parâmetros!$B$8)</f>
        <v>0.0858958097152039</v>
      </c>
      <c r="H612" s="3" t="str">
        <f aca="false">IF(F612&gt;=Parâmetros!$B$6,"Ação","Acompanhamento")</f>
        <v>Ação</v>
      </c>
      <c r="I612" s="17" t="n">
        <v>299.511873350924</v>
      </c>
      <c r="J612" s="11" t="n">
        <f aca="false">D612*I612</f>
        <v>1734863.77968338</v>
      </c>
      <c r="K612" s="7" t="n">
        <f aca="false">Parâmetros!$B$4+Parâmetros!$B$5*F612</f>
        <v>0.0703953401488108</v>
      </c>
      <c r="L612" s="11" t="n">
        <f aca="false">D612*(1+G612)</f>
        <v>6289.83848856505</v>
      </c>
      <c r="M612" s="14" t="n">
        <v>0</v>
      </c>
      <c r="N612" s="4" t="n">
        <v>1</v>
      </c>
      <c r="O612" s="3" t="str">
        <f aca="false">IF(AND(B612=4,M612=1),IF(N612&lt;0.8,"Subgrupo 7 dias; fronteira de cluster","Subgrupo 7 dias"),IF(N612&lt;0.8,"Fronteira de cluster",""))</f>
        <v/>
      </c>
    </row>
    <row r="613" customFormat="false" ht="15" hidden="false" customHeight="false" outlineLevel="0" collapsed="false">
      <c r="A613" s="14" t="n">
        <v>612</v>
      </c>
      <c r="B613" s="14" t="n">
        <v>1</v>
      </c>
      <c r="C613" s="14" t="s">
        <v>30</v>
      </c>
      <c r="D613" s="15" t="n">
        <v>6816.08828250401</v>
      </c>
      <c r="E613" s="16" t="n">
        <f aca="false">INDEX(Parâmetros!$C$33:$C$37,MATCH(B613,Parâmetros!$A$33:$A$37,0))</f>
        <v>6959.92435130262</v>
      </c>
      <c r="F613" s="7" t="n">
        <f aca="false">MAX(0,(E613-D613)/D613)</f>
        <v>0.0211024363002775</v>
      </c>
      <c r="G613" s="7" t="n">
        <f aca="false">MIN(K613*Parâmetros!$B$19,Parâmetros!$B$8)</f>
        <v>0.0308410883867959</v>
      </c>
      <c r="H613" s="3" t="str">
        <f aca="false">IF(F613&gt;=Parâmetros!$B$6,"Ação","Acompanhamento")</f>
        <v>Acompanhamento</v>
      </c>
      <c r="I613" s="17" t="n">
        <v>299.993403693931</v>
      </c>
      <c r="J613" s="11" t="n">
        <f aca="false">D613*I613</f>
        <v>2044781.5237467</v>
      </c>
      <c r="K613" s="7" t="n">
        <f aca="false">Parâmetros!$B$4+Parâmetros!$B$5*F613</f>
        <v>0.0252756090750694</v>
      </c>
      <c r="L613" s="11" t="n">
        <f aca="false">D613*(1+G613)</f>
        <v>7026.30386367692</v>
      </c>
      <c r="M613" s="14" t="n">
        <v>0</v>
      </c>
      <c r="N613" s="4" t="n">
        <v>1</v>
      </c>
      <c r="O613" s="3" t="str">
        <f aca="false">IF(AND(B613=4,M613=1),IF(N613&lt;0.8,"Subgrupo 7 dias; fronteira de cluster","Subgrupo 7 dias"),IF(N613&lt;0.8,"Fronteira de cluster",""))</f>
        <v/>
      </c>
    </row>
    <row r="614" customFormat="false" ht="15" hidden="false" customHeight="false" outlineLevel="0" collapsed="false">
      <c r="A614" s="14" t="n">
        <v>613</v>
      </c>
      <c r="B614" s="14" t="n">
        <v>2</v>
      </c>
      <c r="C614" s="14" t="s">
        <v>31</v>
      </c>
      <c r="D614" s="15" t="n">
        <v>6728.37212276215</v>
      </c>
      <c r="E614" s="16" t="n">
        <f aca="false">INDEX(Parâmetros!$C$33:$C$37,MATCH(B614,Parâmetros!$A$33:$A$37,0))</f>
        <v>6324.80102695764</v>
      </c>
      <c r="F614" s="7" t="n">
        <f aca="false">MAX(0,(E614-D614)/D614)</f>
        <v>0</v>
      </c>
      <c r="G614" s="7" t="n">
        <f aca="false">MIN(K614*Parâmetros!$B$19,Parâmetros!$B$8)</f>
        <v>0.0244038339849275</v>
      </c>
      <c r="H614" s="3" t="str">
        <f aca="false">IF(F614&gt;=Parâmetros!$B$6,"Ação","Acompanhamento")</f>
        <v>Acompanhamento</v>
      </c>
      <c r="I614" s="17" t="n">
        <v>303.004246284501</v>
      </c>
      <c r="J614" s="11" t="n">
        <f aca="false">D614*I614</f>
        <v>2038725.32377919</v>
      </c>
      <c r="K614" s="7" t="n">
        <f aca="false">Parâmetros!$B$4+Parâmetros!$B$5*F614</f>
        <v>0.02</v>
      </c>
      <c r="L614" s="11" t="n">
        <f aca="false">D614*(1+G614)</f>
        <v>6892.57019903485</v>
      </c>
      <c r="M614" s="14" t="n">
        <v>0</v>
      </c>
      <c r="N614" s="4" t="n">
        <v>0.951219512195122</v>
      </c>
      <c r="O614" s="3" t="str">
        <f aca="false">IF(AND(B614=4,M614=1),IF(N614&lt;0.8,"Subgrupo 7 dias; fronteira de cluster","Subgrupo 7 dias"),IF(N614&lt;0.8,"Fronteira de cluster",""))</f>
        <v/>
      </c>
    </row>
    <row r="615" customFormat="false" ht="15" hidden="false" customHeight="false" outlineLevel="0" collapsed="false">
      <c r="A615" s="14" t="n">
        <v>614</v>
      </c>
      <c r="B615" s="14" t="n">
        <v>2</v>
      </c>
      <c r="C615" s="14" t="s">
        <v>31</v>
      </c>
      <c r="D615" s="15" t="n">
        <v>6590.61538461539</v>
      </c>
      <c r="E615" s="16" t="n">
        <f aca="false">INDEX(Parâmetros!$C$33:$C$37,MATCH(B615,Parâmetros!$A$33:$A$37,0))</f>
        <v>6324.80102695764</v>
      </c>
      <c r="F615" s="7" t="n">
        <f aca="false">MAX(0,(E615-D615)/D615)</f>
        <v>0</v>
      </c>
      <c r="G615" s="7" t="n">
        <f aca="false">MIN(K615*Parâmetros!$B$19,Parâmetros!$B$8)</f>
        <v>0.0244038339849275</v>
      </c>
      <c r="H615" s="3" t="str">
        <f aca="false">IF(F615&gt;=Parâmetros!$B$6,"Ação","Acompanhamento")</f>
        <v>Acompanhamento</v>
      </c>
      <c r="I615" s="17" t="n">
        <v>302.229299363057</v>
      </c>
      <c r="J615" s="11" t="n">
        <f aca="false">D615*I615</f>
        <v>1991877.07006369</v>
      </c>
      <c r="K615" s="7" t="n">
        <f aca="false">Parâmetros!$B$4+Parâmetros!$B$5*F615</f>
        <v>0.02</v>
      </c>
      <c r="L615" s="11" t="n">
        <f aca="false">D615*(1+G615)</f>
        <v>6751.45166832005</v>
      </c>
      <c r="M615" s="14" t="n">
        <v>0</v>
      </c>
      <c r="N615" s="4" t="n">
        <v>0.975308641975309</v>
      </c>
      <c r="O615" s="3" t="str">
        <f aca="false">IF(AND(B615=4,M615=1),IF(N615&lt;0.8,"Subgrupo 7 dias; fronteira de cluster","Subgrupo 7 dias"),IF(N615&lt;0.8,"Fronteira de cluster",""))</f>
        <v/>
      </c>
    </row>
    <row r="616" customFormat="false" ht="15" hidden="false" customHeight="false" outlineLevel="0" collapsed="false">
      <c r="A616" s="14" t="n">
        <v>615</v>
      </c>
      <c r="B616" s="14" t="n">
        <v>4</v>
      </c>
      <c r="C616" s="14" t="s">
        <v>33</v>
      </c>
      <c r="D616" s="15" t="n">
        <v>9712.42125480154</v>
      </c>
      <c r="E616" s="16" t="n">
        <f aca="false">INDEX(Parâmetros!$C$33:$C$37,MATCH(B616,Parâmetros!$A$33:$A$37,0))</f>
        <v>8837.10512820513</v>
      </c>
      <c r="F616" s="7" t="n">
        <f aca="false">MAX(0,(E616-D616)/D616)</f>
        <v>0</v>
      </c>
      <c r="G616" s="7" t="n">
        <f aca="false">MIN(K616*Parâmetros!$B$19,Parâmetros!$B$8)</f>
        <v>0.0244038339849275</v>
      </c>
      <c r="H616" s="3" t="str">
        <f aca="false">IF(F616&gt;=Parâmetros!$B$6,"Ação","Acompanhamento")</f>
        <v>Acompanhamento</v>
      </c>
      <c r="I616" s="17" t="n">
        <v>302.616772823779</v>
      </c>
      <c r="J616" s="11" t="n">
        <f aca="false">D616*I616</f>
        <v>2939141.57643312</v>
      </c>
      <c r="K616" s="7" t="n">
        <f aca="false">Parâmetros!$B$4+Parâmetros!$B$5*F616</f>
        <v>0.02</v>
      </c>
      <c r="L616" s="11" t="n">
        <f aca="false">D616*(1+G616)</f>
        <v>9949.4415706954</v>
      </c>
      <c r="M616" s="14" t="n">
        <v>0</v>
      </c>
      <c r="N616" s="4" t="n">
        <v>0.975308641975309</v>
      </c>
      <c r="O616" s="3" t="str">
        <f aca="false">IF(AND(B616=4,M616=1),IF(N616&lt;0.8,"Subgrupo 7 dias; fronteira de cluster","Subgrupo 7 dias"),IF(N616&lt;0.8,"Fronteira de cluster",""))</f>
        <v/>
      </c>
    </row>
    <row r="617" customFormat="false" ht="15" hidden="false" customHeight="false" outlineLevel="0" collapsed="false">
      <c r="A617" s="14" t="n">
        <v>616</v>
      </c>
      <c r="B617" s="14" t="n">
        <v>1</v>
      </c>
      <c r="C617" s="14" t="s">
        <v>30</v>
      </c>
      <c r="D617" s="15" t="n">
        <v>8487.51219512195</v>
      </c>
      <c r="E617" s="16" t="n">
        <f aca="false">INDEX(Parâmetros!$C$33:$C$37,MATCH(B617,Parâmetros!$A$33:$A$37,0))</f>
        <v>6959.92435130262</v>
      </c>
      <c r="F617" s="7" t="n">
        <f aca="false">MAX(0,(E617-D617)/D617)</f>
        <v>0</v>
      </c>
      <c r="G617" s="7" t="n">
        <f aca="false">MIN(K617*Parâmetros!$B$19,Parâmetros!$B$8)</f>
        <v>0.0244038339849275</v>
      </c>
      <c r="H617" s="3" t="str">
        <f aca="false">IF(F617&gt;=Parâmetros!$B$6,"Ação","Acompanhamento")</f>
        <v>Acompanhamento</v>
      </c>
      <c r="I617" s="17" t="n">
        <v>301.841825902336</v>
      </c>
      <c r="J617" s="11" t="n">
        <f aca="false">D617*I617</f>
        <v>2561886.17834395</v>
      </c>
      <c r="K617" s="7" t="n">
        <f aca="false">Parâmetros!$B$4+Parâmetros!$B$5*F617</f>
        <v>0.02</v>
      </c>
      <c r="L617" s="11" t="n">
        <f aca="false">D617*(1+G617)</f>
        <v>8694.64003367676</v>
      </c>
      <c r="M617" s="14" t="n">
        <v>0</v>
      </c>
      <c r="N617" s="4" t="n">
        <v>1</v>
      </c>
      <c r="O617" s="3" t="str">
        <f aca="false">IF(AND(B617=4,M617=1),IF(N617&lt;0.8,"Subgrupo 7 dias; fronteira de cluster","Subgrupo 7 dias"),IF(N617&lt;0.8,"Fronteira de cluster",""))</f>
        <v/>
      </c>
    </row>
    <row r="618" customFormat="false" ht="15" hidden="false" customHeight="false" outlineLevel="0" collapsed="false">
      <c r="A618" s="14" t="n">
        <v>617</v>
      </c>
      <c r="B618" s="14" t="n">
        <v>3</v>
      </c>
      <c r="C618" s="14" t="s">
        <v>32</v>
      </c>
      <c r="D618" s="15" t="n">
        <v>6359.16538461539</v>
      </c>
      <c r="E618" s="16" t="n">
        <f aca="false">INDEX(Parâmetros!$C$33:$C$37,MATCH(B618,Parâmetros!$A$33:$A$37,0))</f>
        <v>5909.24487179487</v>
      </c>
      <c r="F618" s="7" t="n">
        <f aca="false">MAX(0,(E618-D618)/D618)</f>
        <v>0</v>
      </c>
      <c r="G618" s="7" t="n">
        <f aca="false">MIN(K618*Parâmetros!$B$19,Parâmetros!$B$8)</f>
        <v>0.0244038339849275</v>
      </c>
      <c r="H618" s="3" t="str">
        <f aca="false">IF(F618&gt;=Parâmetros!$B$6,"Ação","Acompanhamento")</f>
        <v>Acompanhamento</v>
      </c>
      <c r="I618" s="17" t="n">
        <v>302.229299363057</v>
      </c>
      <c r="J618" s="11" t="n">
        <f aca="false">D618*I618</f>
        <v>1921926.09872611</v>
      </c>
      <c r="K618" s="7" t="n">
        <f aca="false">Parâmetros!$B$4+Parâmetros!$B$5*F618</f>
        <v>0.02</v>
      </c>
      <c r="L618" s="11" t="n">
        <f aca="false">D618*(1+G618)</f>
        <v>6514.35340094424</v>
      </c>
      <c r="M618" s="14" t="n">
        <v>0</v>
      </c>
      <c r="N618" s="4" t="n">
        <v>1</v>
      </c>
      <c r="O618" s="3" t="str">
        <f aca="false">IF(AND(B618=4,M618=1),IF(N618&lt;0.8,"Subgrupo 7 dias; fronteira de cluster","Subgrupo 7 dias"),IF(N618&lt;0.8,"Fronteira de cluster",""))</f>
        <v/>
      </c>
    </row>
    <row r="619" customFormat="false" ht="15" hidden="false" customHeight="false" outlineLevel="0" collapsed="false">
      <c r="A619" s="14" t="n">
        <v>618</v>
      </c>
      <c r="B619" s="14" t="n">
        <v>1</v>
      </c>
      <c r="C619" s="14" t="s">
        <v>30</v>
      </c>
      <c r="D619" s="15" t="n">
        <v>6830.57874519846</v>
      </c>
      <c r="E619" s="16" t="n">
        <f aca="false">INDEX(Parâmetros!$C$33:$C$37,MATCH(B619,Parâmetros!$A$33:$A$37,0))</f>
        <v>6959.92435130262</v>
      </c>
      <c r="F619" s="7" t="n">
        <f aca="false">MAX(0,(E619-D619)/D619)</f>
        <v>0.018936258687462</v>
      </c>
      <c r="G619" s="7" t="n">
        <f aca="false">MIN(K619*Parâmetros!$B$19,Parâmetros!$B$8)</f>
        <v>0.0301803004012332</v>
      </c>
      <c r="H619" s="3" t="str">
        <f aca="false">IF(F619&gt;=Parâmetros!$B$6,"Ação","Acompanhamento")</f>
        <v>Acompanhamento</v>
      </c>
      <c r="I619" s="17" t="n">
        <v>302.616772823779</v>
      </c>
      <c r="J619" s="11" t="n">
        <f aca="false">D619*I619</f>
        <v>2067047.69639066</v>
      </c>
      <c r="K619" s="7" t="n">
        <f aca="false">Parâmetros!$B$4+Parâmetros!$B$5*F619</f>
        <v>0.0247340646718655</v>
      </c>
      <c r="L619" s="11" t="n">
        <f aca="false">D619*(1+G619)</f>
        <v>7036.72766364283</v>
      </c>
      <c r="M619" s="14" t="n">
        <v>0</v>
      </c>
      <c r="N619" s="4" t="n">
        <v>1</v>
      </c>
      <c r="O619" s="3" t="str">
        <f aca="false">IF(AND(B619=4,M619=1),IF(N619&lt;0.8,"Subgrupo 7 dias; fronteira de cluster","Subgrupo 7 dias"),IF(N619&lt;0.8,"Fronteira de cluster",""))</f>
        <v/>
      </c>
    </row>
    <row r="620" customFormat="false" ht="15" hidden="false" customHeight="false" outlineLevel="0" collapsed="false">
      <c r="A620" s="14" t="n">
        <v>619</v>
      </c>
      <c r="B620" s="14" t="n">
        <v>3</v>
      </c>
      <c r="C620" s="14" t="s">
        <v>32</v>
      </c>
      <c r="D620" s="15" t="n">
        <v>4303.60289389068</v>
      </c>
      <c r="E620" s="16" t="n">
        <f aca="false">INDEX(Parâmetros!$C$33:$C$37,MATCH(B620,Parâmetros!$A$33:$A$37,0))</f>
        <v>5909.24487179487</v>
      </c>
      <c r="F620" s="7" t="n">
        <f aca="false">MAX(0,(E620-D620)/D620)</f>
        <v>0.373092503535477</v>
      </c>
      <c r="G620" s="7" t="n">
        <f aca="false">MIN(K620*Parâmetros!$B$19,Parâmetros!$B$8)</f>
        <v>0.138214927951187</v>
      </c>
      <c r="H620" s="3" t="str">
        <f aca="false">IF(F620&gt;=Parâmetros!$B$6,"Ação","Acompanhamento")</f>
        <v>Ação</v>
      </c>
      <c r="I620" s="17" t="n">
        <v>299.511873350924</v>
      </c>
      <c r="J620" s="11" t="n">
        <f aca="false">D620*I620</f>
        <v>1288980.16490765</v>
      </c>
      <c r="K620" s="7" t="n">
        <f aca="false">Parâmetros!$B$4+Parâmetros!$B$5*F620</f>
        <v>0.113273125883869</v>
      </c>
      <c r="L620" s="11" t="n">
        <f aca="false">D620*(1+G620)</f>
        <v>4898.42505780029</v>
      </c>
      <c r="M620" s="14" t="n">
        <v>0</v>
      </c>
      <c r="N620" s="4" t="n">
        <v>0.96551724137931</v>
      </c>
      <c r="O620" s="3" t="str">
        <f aca="false">IF(AND(B620=4,M620=1),IF(N620&lt;0.8,"Subgrupo 7 dias; fronteira de cluster","Subgrupo 7 dias"),IF(N620&lt;0.8,"Fronteira de cluster",""))</f>
        <v/>
      </c>
    </row>
    <row r="621" customFormat="false" ht="15" hidden="false" customHeight="false" outlineLevel="0" collapsed="false">
      <c r="A621" s="14" t="n">
        <v>620</v>
      </c>
      <c r="B621" s="14" t="n">
        <v>1</v>
      </c>
      <c r="C621" s="14" t="s">
        <v>30</v>
      </c>
      <c r="D621" s="15" t="n">
        <v>7773.76688102894</v>
      </c>
      <c r="E621" s="16" t="n">
        <f aca="false">INDEX(Parâmetros!$C$33:$C$37,MATCH(B621,Parâmetros!$A$33:$A$37,0))</f>
        <v>6959.92435130262</v>
      </c>
      <c r="F621" s="7" t="n">
        <f aca="false">MAX(0,(E621-D621)/D621)</f>
        <v>0</v>
      </c>
      <c r="G621" s="7" t="n">
        <f aca="false">MIN(K621*Parâmetros!$B$19,Parâmetros!$B$8)</f>
        <v>0.0244038339849275</v>
      </c>
      <c r="H621" s="3" t="str">
        <f aca="false">IF(F621&gt;=Parâmetros!$B$6,"Ação","Acompanhamento")</f>
        <v>Acompanhamento</v>
      </c>
      <c r="I621" s="17" t="n">
        <v>299.511873350924</v>
      </c>
      <c r="J621" s="11" t="n">
        <f aca="false">D621*I621</f>
        <v>2328335.48153034</v>
      </c>
      <c r="K621" s="7" t="n">
        <f aca="false">Parâmetros!$B$4+Parâmetros!$B$5*F621</f>
        <v>0.02</v>
      </c>
      <c r="L621" s="11" t="n">
        <f aca="false">D621*(1+G621)</f>
        <v>7963.4765974311</v>
      </c>
      <c r="M621" s="14" t="n">
        <v>0</v>
      </c>
      <c r="N621" s="4" t="n">
        <v>0.973333333333333</v>
      </c>
      <c r="O621" s="3" t="str">
        <f aca="false">IF(AND(B621=4,M621=1),IF(N621&lt;0.8,"Subgrupo 7 dias; fronteira de cluster","Subgrupo 7 dias"),IF(N621&lt;0.8,"Fronteira de cluster",""))</f>
        <v/>
      </c>
    </row>
    <row r="622" customFormat="false" ht="15" hidden="false" customHeight="false" outlineLevel="0" collapsed="false">
      <c r="A622" s="14" t="n">
        <v>621</v>
      </c>
      <c r="B622" s="14" t="n">
        <v>0</v>
      </c>
      <c r="C622" s="14" t="s">
        <v>29</v>
      </c>
      <c r="D622" s="15" t="n">
        <v>5916.22464698331</v>
      </c>
      <c r="E622" s="16" t="n">
        <f aca="false">INDEX(Parâmetros!$C$33:$C$37,MATCH(B622,Parâmetros!$A$33:$A$37,0))</f>
        <v>5476.37033462034</v>
      </c>
      <c r="F622" s="7" t="n">
        <f aca="false">MAX(0,(E622-D622)/D622)</f>
        <v>0</v>
      </c>
      <c r="G622" s="7" t="n">
        <f aca="false">MIN(K622*Parâmetros!$B$19,Parâmetros!$B$8)</f>
        <v>0.0244038339849275</v>
      </c>
      <c r="H622" s="3" t="str">
        <f aca="false">IF(F622&gt;=Parâmetros!$B$6,"Ação","Acompanhamento")</f>
        <v>Acompanhamento</v>
      </c>
      <c r="I622" s="17" t="n">
        <v>301.841825902336</v>
      </c>
      <c r="J622" s="11" t="n">
        <f aca="false">D622*I622</f>
        <v>1785764.04989384</v>
      </c>
      <c r="K622" s="7" t="n">
        <f aca="false">Parâmetros!$B$4+Parâmetros!$B$5*F622</f>
        <v>0.02</v>
      </c>
      <c r="L622" s="11" t="n">
        <f aca="false">D622*(1+G622)</f>
        <v>6060.60321108583</v>
      </c>
      <c r="M622" s="14" t="n">
        <v>0</v>
      </c>
      <c r="N622" s="4" t="n">
        <v>0.929577464788732</v>
      </c>
      <c r="O622" s="3" t="str">
        <f aca="false">IF(AND(B622=4,M622=1),IF(N622&lt;0.8,"Subgrupo 7 dias; fronteira de cluster","Subgrupo 7 dias"),IF(N622&lt;0.8,"Fronteira de cluster",""))</f>
        <v/>
      </c>
    </row>
    <row r="623" customFormat="false" ht="15" hidden="false" customHeight="false" outlineLevel="0" collapsed="false">
      <c r="A623" s="14" t="n">
        <v>622</v>
      </c>
      <c r="B623" s="14" t="n">
        <v>0</v>
      </c>
      <c r="C623" s="14" t="s">
        <v>29</v>
      </c>
      <c r="D623" s="15" t="n">
        <v>4317.96173469388</v>
      </c>
      <c r="E623" s="16" t="n">
        <f aca="false">INDEX(Parâmetros!$C$33:$C$37,MATCH(B623,Parâmetros!$A$33:$A$37,0))</f>
        <v>5476.37033462034</v>
      </c>
      <c r="F623" s="7" t="n">
        <f aca="false">MAX(0,(E623-D623)/D623)</f>
        <v>0.268276717373129</v>
      </c>
      <c r="G623" s="7" t="n">
        <f aca="false">MIN(K623*Parâmetros!$B$19,Parâmetros!$B$8)</f>
        <v>0.106241089894867</v>
      </c>
      <c r="H623" s="3" t="str">
        <f aca="false">IF(F623&gt;=Parâmetros!$B$6,"Ação","Acompanhamento")</f>
        <v>Ação</v>
      </c>
      <c r="I623" s="17" t="n">
        <v>303.779193205945</v>
      </c>
      <c r="J623" s="11" t="n">
        <f aca="false">D623*I623</f>
        <v>1311706.93205945</v>
      </c>
      <c r="K623" s="7" t="n">
        <f aca="false">Parâmetros!$B$4+Parâmetros!$B$5*F623</f>
        <v>0.0870691793432824</v>
      </c>
      <c r="L623" s="11" t="n">
        <f aca="false">D623*(1+G623)</f>
        <v>4776.70669551209</v>
      </c>
      <c r="M623" s="14" t="n">
        <v>0</v>
      </c>
      <c r="N623" s="4" t="n">
        <v>0.882352941176471</v>
      </c>
      <c r="O623" s="3" t="str">
        <f aca="false">IF(AND(B623=4,M623=1),IF(N623&lt;0.8,"Subgrupo 7 dias; fronteira de cluster","Subgrupo 7 dias"),IF(N623&lt;0.8,"Fronteira de cluster",""))</f>
        <v/>
      </c>
    </row>
    <row r="624" customFormat="false" ht="15" hidden="false" customHeight="false" outlineLevel="0" collapsed="false">
      <c r="A624" s="14" t="n">
        <v>623</v>
      </c>
      <c r="B624" s="14" t="n">
        <v>0</v>
      </c>
      <c r="C624" s="14" t="s">
        <v>29</v>
      </c>
      <c r="D624" s="15" t="n">
        <v>7146.0770234987</v>
      </c>
      <c r="E624" s="16" t="n">
        <f aca="false">INDEX(Parâmetros!$C$33:$C$37,MATCH(B624,Parâmetros!$A$33:$A$37,0))</f>
        <v>5476.37033462034</v>
      </c>
      <c r="F624" s="7" t="n">
        <f aca="false">MAX(0,(E624-D624)/D624)</f>
        <v>0</v>
      </c>
      <c r="G624" s="7" t="n">
        <f aca="false">MIN(K624*Parâmetros!$B$19,Parâmetros!$B$8)</f>
        <v>0.0244038339849275</v>
      </c>
      <c r="H624" s="3" t="str">
        <f aca="false">IF(F624&gt;=Parâmetros!$B$6,"Ação","Acompanhamento")</f>
        <v>Acompanhamento</v>
      </c>
      <c r="I624" s="17" t="n">
        <v>297.579617834395</v>
      </c>
      <c r="J624" s="11" t="n">
        <f aca="false">D624*I624</f>
        <v>2126526.86966789</v>
      </c>
      <c r="K624" s="7" t="n">
        <f aca="false">Parâmetros!$B$4+Parâmetros!$B$5*F624</f>
        <v>0.02</v>
      </c>
      <c r="L624" s="11" t="n">
        <f aca="false">D624*(1+G624)</f>
        <v>7320.46870082366</v>
      </c>
      <c r="M624" s="14" t="n">
        <v>0</v>
      </c>
      <c r="N624" s="4" t="n">
        <v>1</v>
      </c>
      <c r="O624" s="3" t="str">
        <f aca="false">IF(AND(B624=4,M624=1),IF(N624&lt;0.8,"Subgrupo 7 dias; fronteira de cluster","Subgrupo 7 dias"),IF(N624&lt;0.8,"Fronteira de cluster",""))</f>
        <v/>
      </c>
    </row>
    <row r="625" customFormat="false" ht="15" hidden="false" customHeight="false" outlineLevel="0" collapsed="false">
      <c r="A625" s="14" t="n">
        <v>624</v>
      </c>
      <c r="B625" s="14" t="n">
        <v>1</v>
      </c>
      <c r="C625" s="14" t="s">
        <v>30</v>
      </c>
      <c r="D625" s="15" t="n">
        <v>7019.06675224647</v>
      </c>
      <c r="E625" s="16" t="n">
        <f aca="false">INDEX(Parâmetros!$C$33:$C$37,MATCH(B625,Parâmetros!$A$33:$A$37,0))</f>
        <v>6959.92435130262</v>
      </c>
      <c r="F625" s="7" t="n">
        <f aca="false">MAX(0,(E625-D625)/D625)</f>
        <v>0</v>
      </c>
      <c r="G625" s="7" t="n">
        <f aca="false">MIN(K625*Parâmetros!$B$19,Parâmetros!$B$8)</f>
        <v>0.0244038339849275</v>
      </c>
      <c r="H625" s="3" t="str">
        <f aca="false">IF(F625&gt;=Parâmetros!$B$6,"Ação","Acompanhamento")</f>
        <v>Acompanhamento</v>
      </c>
      <c r="I625" s="17" t="n">
        <v>301.841825902336</v>
      </c>
      <c r="J625" s="11" t="n">
        <f aca="false">D625*I625</f>
        <v>2118647.92462845</v>
      </c>
      <c r="K625" s="7" t="n">
        <f aca="false">Parâmetros!$B$4+Parâmetros!$B$5*F625</f>
        <v>0.02</v>
      </c>
      <c r="L625" s="11" t="n">
        <f aca="false">D625*(1+G625)</f>
        <v>7190.35889199742</v>
      </c>
      <c r="M625" s="14" t="n">
        <v>0</v>
      </c>
      <c r="N625" s="4" t="n">
        <v>1</v>
      </c>
      <c r="O625" s="3" t="str">
        <f aca="false">IF(AND(B625=4,M625=1),IF(N625&lt;0.8,"Subgrupo 7 dias; fronteira de cluster","Subgrupo 7 dias"),IF(N625&lt;0.8,"Fronteira de cluster",""))</f>
        <v/>
      </c>
    </row>
    <row r="626" customFormat="false" ht="15" hidden="false" customHeight="false" outlineLevel="0" collapsed="false">
      <c r="A626" s="14" t="n">
        <v>625</v>
      </c>
      <c r="B626" s="14" t="n">
        <v>0</v>
      </c>
      <c r="C626" s="14" t="s">
        <v>29</v>
      </c>
      <c r="D626" s="15" t="n">
        <v>6300.19512195122</v>
      </c>
      <c r="E626" s="16" t="n">
        <f aca="false">INDEX(Parâmetros!$C$33:$C$37,MATCH(B626,Parâmetros!$A$33:$A$37,0))</f>
        <v>5476.37033462034</v>
      </c>
      <c r="F626" s="7" t="n">
        <f aca="false">MAX(0,(E626-D626)/D626)</f>
        <v>0</v>
      </c>
      <c r="G626" s="7" t="n">
        <f aca="false">MIN(K626*Parâmetros!$B$19,Parâmetros!$B$8)</f>
        <v>0.0244038339849275</v>
      </c>
      <c r="H626" s="3" t="str">
        <f aca="false">IF(F626&gt;=Parâmetros!$B$6,"Ação","Acompanhamento")</f>
        <v>Acompanhamento</v>
      </c>
      <c r="I626" s="17" t="n">
        <v>301.841825902336</v>
      </c>
      <c r="J626" s="11" t="n">
        <f aca="false">D626*I626</f>
        <v>1901662.39915074</v>
      </c>
      <c r="K626" s="7" t="n">
        <f aca="false">Parâmetros!$B$4+Parâmetros!$B$5*F626</f>
        <v>0.02</v>
      </c>
      <c r="L626" s="11" t="n">
        <f aca="false">D626*(1+G626)</f>
        <v>6453.94403777997</v>
      </c>
      <c r="M626" s="14" t="n">
        <v>0</v>
      </c>
      <c r="N626" s="4" t="n">
        <v>1</v>
      </c>
      <c r="O626" s="3" t="str">
        <f aca="false">IF(AND(B626=4,M626=1),IF(N626&lt;0.8,"Subgrupo 7 dias; fronteira de cluster","Subgrupo 7 dias"),IF(N626&lt;0.8,"Fronteira de cluster",""))</f>
        <v/>
      </c>
    </row>
    <row r="627" customFormat="false" ht="15" hidden="false" customHeight="false" outlineLevel="0" collapsed="false">
      <c r="A627" s="14" t="n">
        <v>626</v>
      </c>
      <c r="B627" s="14" t="n">
        <v>1</v>
      </c>
      <c r="C627" s="14" t="s">
        <v>30</v>
      </c>
      <c r="D627" s="15" t="n">
        <v>9382.52948717949</v>
      </c>
      <c r="E627" s="16" t="n">
        <f aca="false">INDEX(Parâmetros!$C$33:$C$37,MATCH(B627,Parâmetros!$A$33:$A$37,0))</f>
        <v>6959.92435130262</v>
      </c>
      <c r="F627" s="7" t="n">
        <f aca="false">MAX(0,(E627-D627)/D627)</f>
        <v>0</v>
      </c>
      <c r="G627" s="7" t="n">
        <f aca="false">MIN(K627*Parâmetros!$B$19,Parâmetros!$B$8)</f>
        <v>0.0244038339849275</v>
      </c>
      <c r="H627" s="3" t="str">
        <f aca="false">IF(F627&gt;=Parâmetros!$B$6,"Ação","Acompanhamento")</f>
        <v>Acompanhamento</v>
      </c>
      <c r="I627" s="17" t="n">
        <v>302.229299363057</v>
      </c>
      <c r="J627" s="11" t="n">
        <f aca="false">D627*I627</f>
        <v>2835675.31316348</v>
      </c>
      <c r="K627" s="7" t="n">
        <f aca="false">Parâmetros!$B$4+Parâmetros!$B$5*F627</f>
        <v>0.02</v>
      </c>
      <c r="L627" s="11" t="n">
        <f aca="false">D627*(1+G627)</f>
        <v>9611.4991791433</v>
      </c>
      <c r="M627" s="14" t="n">
        <v>0</v>
      </c>
      <c r="N627" s="4" t="n">
        <v>1</v>
      </c>
      <c r="O627" s="3" t="str">
        <f aca="false">IF(AND(B627=4,M627=1),IF(N627&lt;0.8,"Subgrupo 7 dias; fronteira de cluster","Subgrupo 7 dias"),IF(N627&lt;0.8,"Fronteira de cluster",""))</f>
        <v/>
      </c>
    </row>
    <row r="628" customFormat="false" ht="15" hidden="false" customHeight="false" outlineLevel="0" collapsed="false">
      <c r="A628" s="14" t="n">
        <v>627</v>
      </c>
      <c r="B628" s="14" t="n">
        <v>1</v>
      </c>
      <c r="C628" s="14" t="s">
        <v>30</v>
      </c>
      <c r="D628" s="15" t="n">
        <v>5991.25224071703</v>
      </c>
      <c r="E628" s="16" t="n">
        <f aca="false">INDEX(Parâmetros!$C$33:$C$37,MATCH(B628,Parâmetros!$A$33:$A$37,0))</f>
        <v>6959.92435130262</v>
      </c>
      <c r="F628" s="7" t="n">
        <f aca="false">MAX(0,(E628-D628)/D628)</f>
        <v>0.161681076286927</v>
      </c>
      <c r="G628" s="7" t="n">
        <f aca="false">MIN(K628*Parâmetros!$B$19,Parâmetros!$B$8)</f>
        <v>0.0737243107875594</v>
      </c>
      <c r="H628" s="3" t="str">
        <f aca="false">IF(F628&gt;=Parâmetros!$B$6,"Ação","Acompanhamento")</f>
        <v>Ação</v>
      </c>
      <c r="I628" s="17" t="n">
        <v>302.616772823779</v>
      </c>
      <c r="J628" s="11" t="n">
        <f aca="false">D628*I628</f>
        <v>1813053.41825902</v>
      </c>
      <c r="K628" s="7" t="n">
        <f aca="false">Parâmetros!$B$4+Parâmetros!$B$5*F628</f>
        <v>0.0604202690717317</v>
      </c>
      <c r="L628" s="11" t="n">
        <f aca="false">D628*(1+G628)</f>
        <v>6432.95318291831</v>
      </c>
      <c r="M628" s="14" t="n">
        <v>0</v>
      </c>
      <c r="N628" s="4" t="n">
        <v>1</v>
      </c>
      <c r="O628" s="3" t="str">
        <f aca="false">IF(AND(B628=4,M628=1),IF(N628&lt;0.8,"Subgrupo 7 dias; fronteira de cluster","Subgrupo 7 dias"),IF(N628&lt;0.8,"Fronteira de cluster",""))</f>
        <v/>
      </c>
    </row>
    <row r="629" customFormat="false" ht="15" hidden="false" customHeight="false" outlineLevel="0" collapsed="false">
      <c r="A629" s="14" t="n">
        <v>628</v>
      </c>
      <c r="B629" s="14" t="n">
        <v>0</v>
      </c>
      <c r="C629" s="14" t="s">
        <v>29</v>
      </c>
      <c r="D629" s="15" t="n">
        <v>6231.08290816327</v>
      </c>
      <c r="E629" s="16" t="n">
        <f aca="false">INDEX(Parâmetros!$C$33:$C$37,MATCH(B629,Parâmetros!$A$33:$A$37,0))</f>
        <v>5476.37033462034</v>
      </c>
      <c r="F629" s="7" t="n">
        <f aca="false">MAX(0,(E629-D629)/D629)</f>
        <v>0</v>
      </c>
      <c r="G629" s="7" t="n">
        <f aca="false">MIN(K629*Parâmetros!$B$19,Parâmetros!$B$8)</f>
        <v>0.0244038339849275</v>
      </c>
      <c r="H629" s="3" t="str">
        <f aca="false">IF(F629&gt;=Parâmetros!$B$6,"Ação","Acompanhamento")</f>
        <v>Acompanhamento</v>
      </c>
      <c r="I629" s="17" t="n">
        <v>303.779193205945</v>
      </c>
      <c r="J629" s="11" t="n">
        <f aca="false">D629*I629</f>
        <v>1892873.33864119</v>
      </c>
      <c r="K629" s="7" t="n">
        <f aca="false">Parâmetros!$B$4+Parâmetros!$B$5*F629</f>
        <v>0.02</v>
      </c>
      <c r="L629" s="11" t="n">
        <f aca="false">D629*(1+G629)</f>
        <v>6383.1452210004</v>
      </c>
      <c r="M629" s="14" t="n">
        <v>0</v>
      </c>
      <c r="N629" s="4" t="n">
        <v>1</v>
      </c>
      <c r="O629" s="3" t="str">
        <f aca="false">IF(AND(B629=4,M629=1),IF(N629&lt;0.8,"Subgrupo 7 dias; fronteira de cluster","Subgrupo 7 dias"),IF(N629&lt;0.8,"Fronteira de cluster",""))</f>
        <v/>
      </c>
    </row>
    <row r="630" customFormat="false" ht="15" hidden="false" customHeight="false" outlineLevel="0" collapsed="false">
      <c r="A630" s="14" t="n">
        <v>629</v>
      </c>
      <c r="B630" s="14" t="n">
        <v>1</v>
      </c>
      <c r="C630" s="14" t="s">
        <v>30</v>
      </c>
      <c r="D630" s="15" t="n">
        <v>7652.73954983923</v>
      </c>
      <c r="E630" s="16" t="n">
        <f aca="false">INDEX(Parâmetros!$C$33:$C$37,MATCH(B630,Parâmetros!$A$33:$A$37,0))</f>
        <v>6959.92435130262</v>
      </c>
      <c r="F630" s="7" t="n">
        <f aca="false">MAX(0,(E630-D630)/D630)</f>
        <v>0</v>
      </c>
      <c r="G630" s="7" t="n">
        <f aca="false">MIN(K630*Parâmetros!$B$19,Parâmetros!$B$8)</f>
        <v>0.0244038339849275</v>
      </c>
      <c r="H630" s="3" t="str">
        <f aca="false">IF(F630&gt;=Parâmetros!$B$6,"Ação","Acompanhamento")</f>
        <v>Acompanhamento</v>
      </c>
      <c r="I630" s="17" t="n">
        <v>299.511873350924</v>
      </c>
      <c r="J630" s="11" t="n">
        <f aca="false">D630*I630</f>
        <v>2292086.35883905</v>
      </c>
      <c r="K630" s="7" t="n">
        <f aca="false">Parâmetros!$B$4+Parâmetros!$B$5*F630</f>
        <v>0.02</v>
      </c>
      <c r="L630" s="11" t="n">
        <f aca="false">D630*(1+G630)</f>
        <v>7839.49573534339</v>
      </c>
      <c r="M630" s="14" t="n">
        <v>0</v>
      </c>
      <c r="N630" s="4" t="n">
        <v>1</v>
      </c>
      <c r="O630" s="3" t="str">
        <f aca="false">IF(AND(B630=4,M630=1),IF(N630&lt;0.8,"Subgrupo 7 dias; fronteira de cluster","Subgrupo 7 dias"),IF(N630&lt;0.8,"Fronteira de cluster",""))</f>
        <v/>
      </c>
    </row>
    <row r="631" customFormat="false" ht="15" hidden="false" customHeight="false" outlineLevel="0" collapsed="false">
      <c r="A631" s="14" t="n">
        <v>630</v>
      </c>
      <c r="B631" s="14" t="n">
        <v>3</v>
      </c>
      <c r="C631" s="14" t="s">
        <v>32</v>
      </c>
      <c r="D631" s="15" t="n">
        <v>6935.85237483954</v>
      </c>
      <c r="E631" s="16" t="n">
        <f aca="false">INDEX(Parâmetros!$C$33:$C$37,MATCH(B631,Parâmetros!$A$33:$A$37,0))</f>
        <v>5909.24487179487</v>
      </c>
      <c r="F631" s="7" t="n">
        <f aca="false">MAX(0,(E631-D631)/D631)</f>
        <v>0</v>
      </c>
      <c r="G631" s="7" t="n">
        <f aca="false">MIN(K631*Parâmetros!$B$19,Parâmetros!$B$8)</f>
        <v>0.0244038339849275</v>
      </c>
      <c r="H631" s="3" t="str">
        <f aca="false">IF(F631&gt;=Parâmetros!$B$6,"Ação","Acompanhamento")</f>
        <v>Acompanhamento</v>
      </c>
      <c r="I631" s="17" t="n">
        <v>301.841825902336</v>
      </c>
      <c r="J631" s="11" t="n">
        <f aca="false">D631*I631</f>
        <v>2093530.34501062</v>
      </c>
      <c r="K631" s="7" t="n">
        <f aca="false">Parâmetros!$B$4+Parâmetros!$B$5*F631</f>
        <v>0.02</v>
      </c>
      <c r="L631" s="11" t="n">
        <f aca="false">D631*(1+G631)</f>
        <v>7105.11376473909</v>
      </c>
      <c r="M631" s="14" t="n">
        <v>0</v>
      </c>
      <c r="N631" s="4" t="n">
        <v>1</v>
      </c>
      <c r="O631" s="3" t="str">
        <f aca="false">IF(AND(B631=4,M631=1),IF(N631&lt;0.8,"Subgrupo 7 dias; fronteira de cluster","Subgrupo 7 dias"),IF(N631&lt;0.8,"Fronteira de cluster",""))</f>
        <v/>
      </c>
    </row>
    <row r="632" customFormat="false" ht="15" hidden="false" customHeight="false" outlineLevel="0" collapsed="false">
      <c r="A632" s="14" t="n">
        <v>631</v>
      </c>
      <c r="B632" s="14" t="n">
        <v>0</v>
      </c>
      <c r="C632" s="14" t="s">
        <v>29</v>
      </c>
      <c r="D632" s="15" t="n">
        <v>5400.30739795918</v>
      </c>
      <c r="E632" s="16" t="n">
        <f aca="false">INDEX(Parâmetros!$C$33:$C$37,MATCH(B632,Parâmetros!$A$33:$A$37,0))</f>
        <v>5476.37033462034</v>
      </c>
      <c r="F632" s="7" t="n">
        <f aca="false">MAX(0,(E632-D632)/D632)</f>
        <v>0.0140849272191238</v>
      </c>
      <c r="G632" s="7" t="n">
        <f aca="false">MIN(K632*Parâmetros!$B$19,Parâmetros!$B$8)</f>
        <v>0.0287004118042435</v>
      </c>
      <c r="H632" s="3" t="str">
        <f aca="false">IF(F632&gt;=Parâmetros!$B$6,"Ação","Acompanhamento")</f>
        <v>Acompanhamento</v>
      </c>
      <c r="I632" s="17" t="n">
        <v>303.779193205945</v>
      </c>
      <c r="J632" s="11" t="n">
        <f aca="false">D632*I632</f>
        <v>1640501.02441614</v>
      </c>
      <c r="K632" s="7" t="n">
        <f aca="false">Parâmetros!$B$4+Parâmetros!$B$5*F632</f>
        <v>0.023521231804781</v>
      </c>
      <c r="L632" s="11" t="n">
        <f aca="false">D632*(1+G632)</f>
        <v>5555.29844415012</v>
      </c>
      <c r="M632" s="14" t="n">
        <v>0</v>
      </c>
      <c r="N632" s="4" t="n">
        <v>0.780821917808219</v>
      </c>
      <c r="O632" s="3" t="str">
        <f aca="false">IF(AND(B632=4,M632=1),IF(N632&lt;0.8,"Subgrupo 7 dias; fronteira de cluster","Subgrupo 7 dias"),IF(N632&lt;0.8,"Fronteira de cluster",""))</f>
        <v>Fronteira de cluster</v>
      </c>
    </row>
    <row r="633" customFormat="false" ht="15" hidden="false" customHeight="false" outlineLevel="0" collapsed="false">
      <c r="A633" s="14" t="n">
        <v>632</v>
      </c>
      <c r="B633" s="14" t="n">
        <v>4</v>
      </c>
      <c r="C633" s="14" t="s">
        <v>33</v>
      </c>
      <c r="D633" s="15" t="n">
        <v>7028.77423469388</v>
      </c>
      <c r="E633" s="16" t="n">
        <f aca="false">INDEX(Parâmetros!$C$33:$C$37,MATCH(B633,Parâmetros!$A$33:$A$37,0))</f>
        <v>8837.10512820513</v>
      </c>
      <c r="F633" s="7" t="n">
        <f aca="false">MAX(0,(E633-D633)/D633)</f>
        <v>0.257275427141388</v>
      </c>
      <c r="G633" s="7" t="n">
        <f aca="false">MIN(K633*Parâmetros!$B$19,Parâmetros!$B$8)</f>
        <v>0.102885169139424</v>
      </c>
      <c r="H633" s="3" t="str">
        <f aca="false">IF(F633&gt;=Parâmetros!$B$6,"Ação","Acompanhamento")</f>
        <v>Ação</v>
      </c>
      <c r="I633" s="17" t="n">
        <v>303.779193205945</v>
      </c>
      <c r="J633" s="11" t="n">
        <f aca="false">D633*I633</f>
        <v>2135195.36624204</v>
      </c>
      <c r="K633" s="7" t="n">
        <f aca="false">Parâmetros!$B$4+Parâmetros!$B$5*F633</f>
        <v>0.084318856785347</v>
      </c>
      <c r="L633" s="11" t="n">
        <f aca="false">D633*(1+G633)</f>
        <v>7751.93086067318</v>
      </c>
      <c r="M633" s="14" t="n">
        <v>0</v>
      </c>
      <c r="N633" s="4" t="n">
        <v>1</v>
      </c>
      <c r="O633" s="3" t="str">
        <f aca="false">IF(AND(B633=4,M633=1),IF(N633&lt;0.8,"Subgrupo 7 dias; fronteira de cluster","Subgrupo 7 dias"),IF(N633&lt;0.8,"Fronteira de cluster",""))</f>
        <v/>
      </c>
    </row>
    <row r="634" customFormat="false" ht="15" hidden="false" customHeight="false" outlineLevel="0" collapsed="false">
      <c r="A634" s="14" t="n">
        <v>633</v>
      </c>
      <c r="B634" s="14" t="n">
        <v>1</v>
      </c>
      <c r="C634" s="14" t="s">
        <v>30</v>
      </c>
      <c r="D634" s="15" t="n">
        <v>7207.21704180064</v>
      </c>
      <c r="E634" s="16" t="n">
        <f aca="false">INDEX(Parâmetros!$C$33:$C$37,MATCH(B634,Parâmetros!$A$33:$A$37,0))</f>
        <v>6959.92435130262</v>
      </c>
      <c r="F634" s="7" t="n">
        <f aca="false">MAX(0,(E634-D634)/D634)</f>
        <v>0</v>
      </c>
      <c r="G634" s="7" t="n">
        <f aca="false">MIN(K634*Parâmetros!$B$19,Parâmetros!$B$8)</f>
        <v>0.0244038339849275</v>
      </c>
      <c r="H634" s="3" t="str">
        <f aca="false">IF(F634&gt;=Parâmetros!$B$6,"Ação","Acompanhamento")</f>
        <v>Acompanhamento</v>
      </c>
      <c r="I634" s="17" t="n">
        <v>299.511873350924</v>
      </c>
      <c r="J634" s="11" t="n">
        <f aca="false">D634*I634</f>
        <v>2158647.07783641</v>
      </c>
      <c r="K634" s="7" t="n">
        <f aca="false">Parâmetros!$B$4+Parâmetros!$B$5*F634</f>
        <v>0.02</v>
      </c>
      <c r="L634" s="11" t="n">
        <f aca="false">D634*(1+G634)</f>
        <v>7383.10076998209</v>
      </c>
      <c r="M634" s="14" t="n">
        <v>0</v>
      </c>
      <c r="N634" s="4" t="n">
        <v>1</v>
      </c>
      <c r="O634" s="3" t="str">
        <f aca="false">IF(AND(B634=4,M634=1),IF(N634&lt;0.8,"Subgrupo 7 dias; fronteira de cluster","Subgrupo 7 dias"),IF(N634&lt;0.8,"Fronteira de cluster",""))</f>
        <v/>
      </c>
    </row>
    <row r="635" customFormat="false" ht="15" hidden="false" customHeight="false" outlineLevel="0" collapsed="false">
      <c r="A635" s="14" t="n">
        <v>634</v>
      </c>
      <c r="B635" s="14" t="n">
        <v>3</v>
      </c>
      <c r="C635" s="14" t="s">
        <v>32</v>
      </c>
      <c r="D635" s="15" t="n">
        <v>6713.28974358974</v>
      </c>
      <c r="E635" s="16" t="n">
        <f aca="false">INDEX(Parâmetros!$C$33:$C$37,MATCH(B635,Parâmetros!$A$33:$A$37,0))</f>
        <v>5909.24487179487</v>
      </c>
      <c r="F635" s="7" t="n">
        <f aca="false">MAX(0,(E635-D635)/D635)</f>
        <v>0</v>
      </c>
      <c r="G635" s="7" t="n">
        <f aca="false">MIN(K635*Parâmetros!$B$19,Parâmetros!$B$8)</f>
        <v>0.0244038339849275</v>
      </c>
      <c r="H635" s="3" t="str">
        <f aca="false">IF(F635&gt;=Parâmetros!$B$6,"Ação","Acompanhamento")</f>
        <v>Acompanhamento</v>
      </c>
      <c r="I635" s="17" t="n">
        <v>302.229299363057</v>
      </c>
      <c r="J635" s="11" t="n">
        <f aca="false">D635*I635</f>
        <v>2028952.85562633</v>
      </c>
      <c r="K635" s="7" t="n">
        <f aca="false">Parâmetros!$B$4+Parâmetros!$B$5*F635</f>
        <v>0.02</v>
      </c>
      <c r="L635" s="11" t="n">
        <f aca="false">D635*(1+G635)</f>
        <v>6877.11975198503</v>
      </c>
      <c r="M635" s="14" t="n">
        <v>0</v>
      </c>
      <c r="N635" s="4" t="n">
        <v>1</v>
      </c>
      <c r="O635" s="3" t="str">
        <f aca="false">IF(AND(B635=4,M635=1),IF(N635&lt;0.8,"Subgrupo 7 dias; fronteira de cluster","Subgrupo 7 dias"),IF(N635&lt;0.8,"Fronteira de cluster",""))</f>
        <v/>
      </c>
    </row>
    <row r="636" customFormat="false" ht="15" hidden="false" customHeight="false" outlineLevel="0" collapsed="false">
      <c r="A636" s="14" t="n">
        <v>635</v>
      </c>
      <c r="B636" s="14" t="n">
        <v>3</v>
      </c>
      <c r="C636" s="14" t="s">
        <v>32</v>
      </c>
      <c r="D636" s="15" t="n">
        <v>5909.24487179487</v>
      </c>
      <c r="E636" s="16" t="n">
        <f aca="false">INDEX(Parâmetros!$C$33:$C$37,MATCH(B636,Parâmetros!$A$33:$A$37,0))</f>
        <v>5909.24487179487</v>
      </c>
      <c r="F636" s="7" t="n">
        <f aca="false">MAX(0,(E636-D636)/D636)</f>
        <v>0</v>
      </c>
      <c r="G636" s="7" t="n">
        <f aca="false">MIN(K636*Parâmetros!$B$19,Parâmetros!$B$8)</f>
        <v>0.0244038339849275</v>
      </c>
      <c r="H636" s="3" t="str">
        <f aca="false">IF(F636&gt;=Parâmetros!$B$6,"Ação","Acompanhamento")</f>
        <v>Acompanhamento</v>
      </c>
      <c r="I636" s="17" t="n">
        <v>302.229299363057</v>
      </c>
      <c r="J636" s="11" t="n">
        <f aca="false">D636*I636</f>
        <v>1785946.9373673</v>
      </c>
      <c r="K636" s="7" t="n">
        <f aca="false">Parâmetros!$B$4+Parâmetros!$B$5*F636</f>
        <v>0.02</v>
      </c>
      <c r="L636" s="11" t="n">
        <f aca="false">D636*(1+G636)</f>
        <v>6053.45310262244</v>
      </c>
      <c r="M636" s="14" t="n">
        <v>0</v>
      </c>
      <c r="N636" s="4" t="n">
        <v>1</v>
      </c>
      <c r="O636" s="3" t="str">
        <f aca="false">IF(AND(B636=4,M636=1),IF(N636&lt;0.8,"Subgrupo 7 dias; fronteira de cluster","Subgrupo 7 dias"),IF(N636&lt;0.8,"Fronteira de cluster",""))</f>
        <v/>
      </c>
    </row>
    <row r="637" customFormat="false" ht="15" hidden="false" customHeight="false" outlineLevel="0" collapsed="false">
      <c r="A637" s="14" t="n">
        <v>636</v>
      </c>
      <c r="B637" s="14" t="n">
        <v>3</v>
      </c>
      <c r="C637" s="14" t="s">
        <v>32</v>
      </c>
      <c r="D637" s="15" t="n">
        <v>5927.69983948636</v>
      </c>
      <c r="E637" s="16" t="n">
        <f aca="false">INDEX(Parâmetros!$C$33:$C$37,MATCH(B637,Parâmetros!$A$33:$A$37,0))</f>
        <v>5909.24487179487</v>
      </c>
      <c r="F637" s="7" t="n">
        <f aca="false">MAX(0,(E637-D637)/D637)</f>
        <v>0</v>
      </c>
      <c r="G637" s="7" t="n">
        <f aca="false">MIN(K637*Parâmetros!$B$19,Parâmetros!$B$8)</f>
        <v>0.0244038339849275</v>
      </c>
      <c r="H637" s="3" t="str">
        <f aca="false">IF(F637&gt;=Parâmetros!$B$6,"Ação","Acompanhamento")</f>
        <v>Acompanhamento</v>
      </c>
      <c r="I637" s="17" t="n">
        <v>299.993403693931</v>
      </c>
      <c r="J637" s="11" t="n">
        <f aca="false">D637*I637</f>
        <v>1778270.85092348</v>
      </c>
      <c r="K637" s="7" t="n">
        <f aca="false">Parâmetros!$B$4+Parâmetros!$B$5*F637</f>
        <v>0.02</v>
      </c>
      <c r="L637" s="11" t="n">
        <f aca="false">D637*(1+G637)</f>
        <v>6072.35844228166</v>
      </c>
      <c r="M637" s="14" t="n">
        <v>0</v>
      </c>
      <c r="N637" s="4" t="n">
        <v>0.986666666666667</v>
      </c>
      <c r="O637" s="3" t="str">
        <f aca="false">IF(AND(B637=4,M637=1),IF(N637&lt;0.8,"Subgrupo 7 dias; fronteira de cluster","Subgrupo 7 dias"),IF(N637&lt;0.8,"Fronteira de cluster",""))</f>
        <v/>
      </c>
    </row>
    <row r="638" customFormat="false" ht="15" hidden="false" customHeight="false" outlineLevel="0" collapsed="false">
      <c r="A638" s="14" t="n">
        <v>637</v>
      </c>
      <c r="B638" s="14" t="n">
        <v>1</v>
      </c>
      <c r="C638" s="14" t="s">
        <v>30</v>
      </c>
      <c r="D638" s="15" t="n">
        <v>8707.26366559486</v>
      </c>
      <c r="E638" s="16" t="n">
        <f aca="false">INDEX(Parâmetros!$C$33:$C$37,MATCH(B638,Parâmetros!$A$33:$A$37,0))</f>
        <v>6959.92435130262</v>
      </c>
      <c r="F638" s="7" t="n">
        <f aca="false">MAX(0,(E638-D638)/D638)</f>
        <v>0</v>
      </c>
      <c r="G638" s="7" t="n">
        <f aca="false">MIN(K638*Parâmetros!$B$19,Parâmetros!$B$8)</f>
        <v>0.0244038339849275</v>
      </c>
      <c r="H638" s="3" t="str">
        <f aca="false">IF(F638&gt;=Parâmetros!$B$6,"Ação","Acompanhamento")</f>
        <v>Acompanhamento</v>
      </c>
      <c r="I638" s="17" t="n">
        <v>299.511873350924</v>
      </c>
      <c r="J638" s="11" t="n">
        <f aca="false">D638*I638</f>
        <v>2607928.85224274</v>
      </c>
      <c r="K638" s="7" t="n">
        <f aca="false">Parâmetros!$B$4+Parâmetros!$B$5*F638</f>
        <v>0.02</v>
      </c>
      <c r="L638" s="11" t="n">
        <f aca="false">D638*(1+G638)</f>
        <v>8919.75428255302</v>
      </c>
      <c r="M638" s="14" t="n">
        <v>0</v>
      </c>
      <c r="N638" s="4" t="n">
        <v>1</v>
      </c>
      <c r="O638" s="3" t="str">
        <f aca="false">IF(AND(B638=4,M638=1),IF(N638&lt;0.8,"Subgrupo 7 dias; fronteira de cluster","Subgrupo 7 dias"),IF(N638&lt;0.8,"Fronteira de cluster",""))</f>
        <v/>
      </c>
    </row>
    <row r="639" customFormat="false" ht="15" hidden="false" customHeight="false" outlineLevel="0" collapsed="false">
      <c r="A639" s="14" t="n">
        <v>638</v>
      </c>
      <c r="B639" s="14" t="n">
        <v>1</v>
      </c>
      <c r="C639" s="14" t="s">
        <v>30</v>
      </c>
      <c r="D639" s="15" t="n">
        <v>6009.60517799353</v>
      </c>
      <c r="E639" s="16" t="n">
        <f aca="false">INDEX(Parâmetros!$C$33:$C$37,MATCH(B639,Parâmetros!$A$33:$A$37,0))</f>
        <v>6959.92435130262</v>
      </c>
      <c r="F639" s="7" t="n">
        <f aca="false">MAX(0,(E639-D639)/D639)</f>
        <v>0.158133379009498</v>
      </c>
      <c r="G639" s="7" t="n">
        <f aca="false">MIN(K639*Parâmetros!$B$19,Parâmetros!$B$8)</f>
        <v>0.07264209309522</v>
      </c>
      <c r="H639" s="3" t="str">
        <f aca="false">IF(F639&gt;=Parâmetros!$B$6,"Ação","Acompanhamento")</f>
        <v>Ação</v>
      </c>
      <c r="I639" s="17" t="n">
        <v>297.585751978892</v>
      </c>
      <c r="J639" s="11" t="n">
        <f aca="false">D639*I639</f>
        <v>1788372.87598945</v>
      </c>
      <c r="K639" s="7" t="n">
        <f aca="false">Parâmetros!$B$4+Parâmetros!$B$5*F639</f>
        <v>0.0595333447523746</v>
      </c>
      <c r="L639" s="11" t="n">
        <f aca="false">D639*(1+G639)</f>
        <v>6446.15547679885</v>
      </c>
      <c r="M639" s="14" t="n">
        <v>0</v>
      </c>
      <c r="N639" s="4" t="n">
        <v>1</v>
      </c>
      <c r="O639" s="3" t="str">
        <f aca="false">IF(AND(B639=4,M639=1),IF(N639&lt;0.8,"Subgrupo 7 dias; fronteira de cluster","Subgrupo 7 dias"),IF(N639&lt;0.8,"Fronteira de cluster",""))</f>
        <v/>
      </c>
    </row>
    <row r="640" customFormat="false" ht="15" hidden="false" customHeight="false" outlineLevel="0" collapsed="false">
      <c r="A640" s="14" t="n">
        <v>639</v>
      </c>
      <c r="B640" s="14" t="n">
        <v>3</v>
      </c>
      <c r="C640" s="14" t="s">
        <v>32</v>
      </c>
      <c r="D640" s="15" t="n">
        <v>4734.69704749679</v>
      </c>
      <c r="E640" s="16" t="n">
        <f aca="false">INDEX(Parâmetros!$C$33:$C$37,MATCH(B640,Parâmetros!$A$33:$A$37,0))</f>
        <v>5909.24487179487</v>
      </c>
      <c r="F640" s="7" t="n">
        <f aca="false">MAX(0,(E640-D640)/D640)</f>
        <v>0.248072434733508</v>
      </c>
      <c r="G640" s="7" t="n">
        <f aca="false">MIN(K640*Parâmetros!$B$19,Parâmetros!$B$8)</f>
        <v>0.100077815403343</v>
      </c>
      <c r="H640" s="3" t="str">
        <f aca="false">IF(F640&gt;=Parâmetros!$B$6,"Ação","Acompanhamento")</f>
        <v>Ação</v>
      </c>
      <c r="I640" s="17" t="n">
        <v>301.841825902336</v>
      </c>
      <c r="J640" s="11" t="n">
        <f aca="false">D640*I640</f>
        <v>1429129.60191083</v>
      </c>
      <c r="K640" s="7" t="n">
        <f aca="false">Parâmetros!$B$4+Parâmetros!$B$5*F640</f>
        <v>0.082018108683377</v>
      </c>
      <c r="L640" s="11" t="n">
        <f aca="false">D640*(1+G640)</f>
        <v>5208.53518460693</v>
      </c>
      <c r="M640" s="14" t="n">
        <v>0</v>
      </c>
      <c r="N640" s="4" t="n">
        <v>0.988372093023256</v>
      </c>
      <c r="O640" s="3" t="str">
        <f aca="false">IF(AND(B640=4,M640=1),IF(N640&lt;0.8,"Subgrupo 7 dias; fronteira de cluster","Subgrupo 7 dias"),IF(N640&lt;0.8,"Fronteira de cluster",""))</f>
        <v/>
      </c>
    </row>
    <row r="641" customFormat="false" ht="15" hidden="false" customHeight="false" outlineLevel="0" collapsed="false">
      <c r="A641" s="14" t="n">
        <v>640</v>
      </c>
      <c r="B641" s="14" t="n">
        <v>1</v>
      </c>
      <c r="C641" s="14" t="s">
        <v>30</v>
      </c>
      <c r="D641" s="15" t="n">
        <v>11533.9781771502</v>
      </c>
      <c r="E641" s="16" t="n">
        <f aca="false">INDEX(Parâmetros!$C$33:$C$37,MATCH(B641,Parâmetros!$A$33:$A$37,0))</f>
        <v>6959.92435130262</v>
      </c>
      <c r="F641" s="7" t="n">
        <f aca="false">MAX(0,(E641-D641)/D641)</f>
        <v>0</v>
      </c>
      <c r="G641" s="7" t="n">
        <f aca="false">MIN(K641*Parâmetros!$B$19,Parâmetros!$B$8)</f>
        <v>0.0244038339849275</v>
      </c>
      <c r="H641" s="3" t="str">
        <f aca="false">IF(F641&gt;=Parâmetros!$B$6,"Ação","Acompanhamento")</f>
        <v>Acompanhamento</v>
      </c>
      <c r="I641" s="17" t="n">
        <v>301.841825902336</v>
      </c>
      <c r="J641" s="11" t="n">
        <f aca="false">D641*I641</f>
        <v>3481437.0329087</v>
      </c>
      <c r="K641" s="7" t="n">
        <f aca="false">Parâmetros!$B$4+Parâmetros!$B$5*F641</f>
        <v>0.02</v>
      </c>
      <c r="L641" s="11" t="n">
        <f aca="false">D641*(1+G641)</f>
        <v>11815.4514657711</v>
      </c>
      <c r="M641" s="14" t="n">
        <v>0</v>
      </c>
      <c r="N641" s="4" t="n">
        <v>1</v>
      </c>
      <c r="O641" s="3" t="str">
        <f aca="false">IF(AND(B641=4,M641=1),IF(N641&lt;0.8,"Subgrupo 7 dias; fronteira de cluster","Subgrupo 7 dias"),IF(N641&lt;0.8,"Fronteira de cluster",""))</f>
        <v/>
      </c>
    </row>
    <row r="642" customFormat="false" ht="15" hidden="false" customHeight="false" outlineLevel="0" collapsed="false">
      <c r="A642" s="14" t="n">
        <v>641</v>
      </c>
      <c r="B642" s="14" t="n">
        <v>3</v>
      </c>
      <c r="C642" s="14" t="s">
        <v>32</v>
      </c>
      <c r="D642" s="15" t="n">
        <v>5764.29525032092</v>
      </c>
      <c r="E642" s="16" t="n">
        <f aca="false">INDEX(Parâmetros!$C$33:$C$37,MATCH(B642,Parâmetros!$A$33:$A$37,0))</f>
        <v>5909.24487179487</v>
      </c>
      <c r="F642" s="7" t="n">
        <f aca="false">MAX(0,(E642-D642)/D642)</f>
        <v>0.0251461133025546</v>
      </c>
      <c r="G642" s="7" t="n">
        <f aca="false">MIN(K642*Parâmetros!$B$19,Parâmetros!$B$8)</f>
        <v>0.0320746036649489</v>
      </c>
      <c r="H642" s="3" t="str">
        <f aca="false">IF(F642&gt;=Parâmetros!$B$6,"Ação","Acompanhamento")</f>
        <v>Acompanhamento</v>
      </c>
      <c r="I642" s="17" t="n">
        <v>301.841825902336</v>
      </c>
      <c r="J642" s="11" t="n">
        <f aca="false">D642*I642</f>
        <v>1739905.40339703</v>
      </c>
      <c r="K642" s="7" t="n">
        <f aca="false">Parâmetros!$B$4+Parâmetros!$B$5*F642</f>
        <v>0.0262865283256387</v>
      </c>
      <c r="L642" s="11" t="n">
        <f aca="false">D642*(1+G642)</f>
        <v>5949.18273588272</v>
      </c>
      <c r="M642" s="14" t="n">
        <v>0</v>
      </c>
      <c r="N642" s="4" t="n">
        <v>0.768292682926829</v>
      </c>
      <c r="O642" s="3" t="str">
        <f aca="false">IF(AND(B642=4,M642=1),IF(N642&lt;0.8,"Subgrupo 7 dias; fronteira de cluster","Subgrupo 7 dias"),IF(N642&lt;0.8,"Fronteira de cluster",""))</f>
        <v>Fronteira de cluster</v>
      </c>
    </row>
    <row r="643" customFormat="false" ht="15" hidden="false" customHeight="false" outlineLevel="0" collapsed="false">
      <c r="A643" s="14" t="n">
        <v>642</v>
      </c>
      <c r="B643" s="14" t="n">
        <v>0</v>
      </c>
      <c r="C643" s="14" t="s">
        <v>29</v>
      </c>
      <c r="D643" s="15" t="n">
        <v>3652.70988446727</v>
      </c>
      <c r="E643" s="16" t="n">
        <f aca="false">INDEX(Parâmetros!$C$33:$C$37,MATCH(B643,Parâmetros!$A$33:$A$37,0))</f>
        <v>5476.37033462034</v>
      </c>
      <c r="F643" s="7" t="n">
        <f aca="false">MAX(0,(E643-D643)/D643)</f>
        <v>0.499262330662497</v>
      </c>
      <c r="G643" s="7" t="n">
        <f aca="false">MIN(K643*Parâmetros!$B$19,Parâmetros!$B$8)</f>
        <v>0.176702771890122</v>
      </c>
      <c r="H643" s="3" t="str">
        <f aca="false">IF(F643&gt;=Parâmetros!$B$6,"Ação","Acompanhamento")</f>
        <v>Ação</v>
      </c>
      <c r="I643" s="17" t="n">
        <v>301.841825902336</v>
      </c>
      <c r="J643" s="11" t="n">
        <f aca="false">D643*I643</f>
        <v>1102540.62101911</v>
      </c>
      <c r="K643" s="7" t="n">
        <f aca="false">Parâmetros!$B$4+Parâmetros!$B$5*F643</f>
        <v>0.144815582665624</v>
      </c>
      <c r="L643" s="11" t="n">
        <f aca="false">D643*(1+G643)</f>
        <v>4298.15384596308</v>
      </c>
      <c r="M643" s="14" t="n">
        <v>0</v>
      </c>
      <c r="N643" s="4" t="n">
        <v>1</v>
      </c>
      <c r="O643" s="3" t="str">
        <f aca="false">IF(AND(B643=4,M643=1),IF(N643&lt;0.8,"Subgrupo 7 dias; fronteira de cluster","Subgrupo 7 dias"),IF(N643&lt;0.8,"Fronteira de cluster",""))</f>
        <v/>
      </c>
    </row>
    <row r="644" customFormat="false" ht="15" hidden="false" customHeight="false" outlineLevel="0" collapsed="false">
      <c r="A644" s="14" t="n">
        <v>643</v>
      </c>
      <c r="B644" s="14" t="n">
        <v>0</v>
      </c>
      <c r="C644" s="14" t="s">
        <v>29</v>
      </c>
      <c r="D644" s="15" t="n">
        <v>7994.43112244898</v>
      </c>
      <c r="E644" s="16" t="n">
        <f aca="false">INDEX(Parâmetros!$C$33:$C$37,MATCH(B644,Parâmetros!$A$33:$A$37,0))</f>
        <v>5476.37033462034</v>
      </c>
      <c r="F644" s="7" t="n">
        <f aca="false">MAX(0,(E644-D644)/D644)</f>
        <v>0</v>
      </c>
      <c r="G644" s="7" t="n">
        <f aca="false">MIN(K644*Parâmetros!$B$19,Parâmetros!$B$8)</f>
        <v>0.0244038339849275</v>
      </c>
      <c r="H644" s="3" t="str">
        <f aca="false">IF(F644&gt;=Parâmetros!$B$6,"Ação","Acompanhamento")</f>
        <v>Acompanhamento</v>
      </c>
      <c r="I644" s="17" t="n">
        <v>303.779193205945</v>
      </c>
      <c r="J644" s="11" t="n">
        <f aca="false">D644*I644</f>
        <v>2428541.83651805</v>
      </c>
      <c r="K644" s="7" t="n">
        <f aca="false">Parâmetros!$B$4+Parâmetros!$B$5*F644</f>
        <v>0.02</v>
      </c>
      <c r="L644" s="11" t="n">
        <f aca="false">D644*(1+G644)</f>
        <v>8189.52589236516</v>
      </c>
      <c r="M644" s="14" t="n">
        <v>0</v>
      </c>
      <c r="N644" s="4" t="n">
        <v>0.857142857142857</v>
      </c>
      <c r="O644" s="3" t="str">
        <f aca="false">IF(AND(B644=4,M644=1),IF(N644&lt;0.8,"Subgrupo 7 dias; fronteira de cluster","Subgrupo 7 dias"),IF(N644&lt;0.8,"Fronteira de cluster",""))</f>
        <v/>
      </c>
    </row>
    <row r="645" customFormat="false" ht="15" hidden="false" customHeight="false" outlineLevel="0" collapsed="false">
      <c r="A645" s="14" t="n">
        <v>644</v>
      </c>
      <c r="B645" s="14" t="n">
        <v>2</v>
      </c>
      <c r="C645" s="14" t="s">
        <v>31</v>
      </c>
      <c r="D645" s="15" t="n">
        <v>9353.05743243243</v>
      </c>
      <c r="E645" s="16" t="n">
        <f aca="false">INDEX(Parâmetros!$C$33:$C$37,MATCH(B645,Parâmetros!$A$33:$A$37,0))</f>
        <v>6324.80102695764</v>
      </c>
      <c r="F645" s="7" t="n">
        <f aca="false">MAX(0,(E645-D645)/D645)</f>
        <v>0</v>
      </c>
      <c r="G645" s="7" t="n">
        <f aca="false">MIN(K645*Parâmetros!$B$19,Parâmetros!$B$8)</f>
        <v>0.0244038339849275</v>
      </c>
      <c r="H645" s="3" t="str">
        <f aca="false">IF(F645&gt;=Parâmetros!$B$6,"Ação","Acompanhamento")</f>
        <v>Acompanhamento</v>
      </c>
      <c r="I645" s="17" t="n">
        <v>285.065963060686</v>
      </c>
      <c r="J645" s="11" t="n">
        <f aca="false">D645*I645</f>
        <v>2666238.32453826</v>
      </c>
      <c r="K645" s="7" t="n">
        <f aca="false">Parâmetros!$B$4+Parâmetros!$B$5*F645</f>
        <v>0.02</v>
      </c>
      <c r="L645" s="11" t="n">
        <f aca="false">D645*(1+G645)</f>
        <v>9581.307893265</v>
      </c>
      <c r="M645" s="14" t="n">
        <v>0</v>
      </c>
      <c r="N645" s="4" t="n">
        <v>0.75</v>
      </c>
      <c r="O645" s="3" t="str">
        <f aca="false">IF(AND(B645=4,M645=1),IF(N645&lt;0.8,"Subgrupo 7 dias; fronteira de cluster","Subgrupo 7 dias"),IF(N645&lt;0.8,"Fronteira de cluster",""))</f>
        <v>Fronteira de cluster</v>
      </c>
    </row>
    <row r="646" customFormat="false" ht="15" hidden="false" customHeight="false" outlineLevel="0" collapsed="false">
      <c r="A646" s="14" t="n">
        <v>645</v>
      </c>
      <c r="B646" s="14" t="n">
        <v>4</v>
      </c>
      <c r="C646" s="14" t="s">
        <v>33</v>
      </c>
      <c r="D646" s="15" t="n">
        <v>10730.2574002574</v>
      </c>
      <c r="E646" s="16" t="n">
        <f aca="false">INDEX(Parâmetros!$C$33:$C$37,MATCH(B646,Parâmetros!$A$33:$A$37,0))</f>
        <v>8837.10512820513</v>
      </c>
      <c r="F646" s="7" t="n">
        <f aca="false">MAX(0,(E646-D646)/D646)</f>
        <v>0</v>
      </c>
      <c r="G646" s="7" t="n">
        <f aca="false">MIN(K646*Parâmetros!$B$19,Parâmetros!$B$8)</f>
        <v>0.0244038339849275</v>
      </c>
      <c r="H646" s="3" t="str">
        <f aca="false">IF(F646&gt;=Parâmetros!$B$6,"Ação","Acompanhamento")</f>
        <v>Acompanhamento</v>
      </c>
      <c r="I646" s="17" t="n">
        <v>301.066878980892</v>
      </c>
      <c r="J646" s="11" t="n">
        <f aca="false">D646*I646</f>
        <v>3230525.10615711</v>
      </c>
      <c r="K646" s="7" t="n">
        <f aca="false">Parâmetros!$B$4+Parâmetros!$B$5*F646</f>
        <v>0.02</v>
      </c>
      <c r="L646" s="11" t="n">
        <f aca="false">D646*(1+G646)</f>
        <v>10992.1168204688</v>
      </c>
      <c r="M646" s="14" t="n">
        <v>0</v>
      </c>
      <c r="N646" s="4" t="n">
        <v>0.975</v>
      </c>
      <c r="O646" s="3" t="str">
        <f aca="false">IF(AND(B646=4,M646=1),IF(N646&lt;0.8,"Subgrupo 7 dias; fronteira de cluster","Subgrupo 7 dias"),IF(N646&lt;0.8,"Fronteira de cluster",""))</f>
        <v/>
      </c>
    </row>
    <row r="647" customFormat="false" ht="15" hidden="false" customHeight="false" outlineLevel="0" collapsed="false">
      <c r="A647" s="14" t="n">
        <v>646</v>
      </c>
      <c r="B647" s="14" t="n">
        <v>0</v>
      </c>
      <c r="C647" s="14" t="s">
        <v>29</v>
      </c>
      <c r="D647" s="15" t="n">
        <v>5025.92604501608</v>
      </c>
      <c r="E647" s="16" t="n">
        <f aca="false">INDEX(Parâmetros!$C$33:$C$37,MATCH(B647,Parâmetros!$A$33:$A$37,0))</f>
        <v>5476.37033462034</v>
      </c>
      <c r="F647" s="7" t="n">
        <f aca="false">MAX(0,(E647-D647)/D647)</f>
        <v>0.0896241380334152</v>
      </c>
      <c r="G647" s="7" t="n">
        <f aca="false">MIN(K647*Parâmetros!$B$19,Parâmetros!$B$8)</f>
        <v>0.0517434913050485</v>
      </c>
      <c r="H647" s="3" t="str">
        <f aca="false">IF(F647&gt;=Parâmetros!$B$6,"Ação","Acompanhamento")</f>
        <v>Acompanhamento</v>
      </c>
      <c r="I647" s="17" t="n">
        <v>299.511873350924</v>
      </c>
      <c r="J647" s="11" t="n">
        <f aca="false">D647*I647</f>
        <v>1505324.52506596</v>
      </c>
      <c r="K647" s="7" t="n">
        <f aca="false">Parâmetros!$B$4+Parâmetros!$B$5*F647</f>
        <v>0.0424060345083538</v>
      </c>
      <c r="L647" s="11" t="n">
        <f aca="false">D647*(1+G647)</f>
        <v>5285.98500562618</v>
      </c>
      <c r="M647" s="14" t="n">
        <v>0</v>
      </c>
      <c r="N647" s="4" t="n">
        <v>0.773809523809524</v>
      </c>
      <c r="O647" s="3" t="str">
        <f aca="false">IF(AND(B647=4,M647=1),IF(N647&lt;0.8,"Subgrupo 7 dias; fronteira de cluster","Subgrupo 7 dias"),IF(N647&lt;0.8,"Fronteira de cluster",""))</f>
        <v>Fronteira de cluster</v>
      </c>
    </row>
    <row r="648" customFormat="false" ht="15" hidden="false" customHeight="false" outlineLevel="0" collapsed="false">
      <c r="A648" s="14" t="n">
        <v>647</v>
      </c>
      <c r="B648" s="14" t="n">
        <v>0</v>
      </c>
      <c r="C648" s="14" t="s">
        <v>29</v>
      </c>
      <c r="D648" s="15" t="n">
        <v>5774.57525510204</v>
      </c>
      <c r="E648" s="16" t="n">
        <f aca="false">INDEX(Parâmetros!$C$33:$C$37,MATCH(B648,Parâmetros!$A$33:$A$37,0))</f>
        <v>5476.37033462034</v>
      </c>
      <c r="F648" s="7" t="n">
        <f aca="false">MAX(0,(E648-D648)/D648)</f>
        <v>0</v>
      </c>
      <c r="G648" s="7" t="n">
        <f aca="false">MIN(K648*Parâmetros!$B$19,Parâmetros!$B$8)</f>
        <v>0.0244038339849275</v>
      </c>
      <c r="H648" s="3" t="str">
        <f aca="false">IF(F648&gt;=Parâmetros!$B$6,"Ação","Acompanhamento")</f>
        <v>Acompanhamento</v>
      </c>
      <c r="I648" s="17" t="n">
        <v>303.779193205945</v>
      </c>
      <c r="J648" s="11" t="n">
        <f aca="false">D648*I648</f>
        <v>1754195.81210191</v>
      </c>
      <c r="K648" s="7" t="n">
        <f aca="false">Parâmetros!$B$4+Parâmetros!$B$5*F648</f>
        <v>0.02</v>
      </c>
      <c r="L648" s="11" t="n">
        <f aca="false">D648*(1+G648)</f>
        <v>5915.49703096102</v>
      </c>
      <c r="M648" s="14" t="n">
        <v>0</v>
      </c>
      <c r="N648" s="4" t="n">
        <v>0.897435897435898</v>
      </c>
      <c r="O648" s="3" t="str">
        <f aca="false">IF(AND(B648=4,M648=1),IF(N648&lt;0.8,"Subgrupo 7 dias; fronteira de cluster","Subgrupo 7 dias"),IF(N648&lt;0.8,"Fronteira de cluster",""))</f>
        <v/>
      </c>
    </row>
    <row r="649" customFormat="false" ht="15" hidden="false" customHeight="false" outlineLevel="0" collapsed="false">
      <c r="A649" s="14" t="n">
        <v>648</v>
      </c>
      <c r="B649" s="14" t="n">
        <v>1</v>
      </c>
      <c r="C649" s="14" t="s">
        <v>30</v>
      </c>
      <c r="D649" s="15" t="n">
        <v>6573.99617346939</v>
      </c>
      <c r="E649" s="16" t="n">
        <f aca="false">INDEX(Parâmetros!$C$33:$C$37,MATCH(B649,Parâmetros!$A$33:$A$37,0))</f>
        <v>6959.92435130262</v>
      </c>
      <c r="F649" s="7" t="n">
        <f aca="false">MAX(0,(E649-D649)/D649)</f>
        <v>0.058705263533727</v>
      </c>
      <c r="G649" s="7" t="n">
        <f aca="false">MIN(K649*Parâmetros!$B$19,Parâmetros!$B$8)</f>
        <v>0.0423117528014086</v>
      </c>
      <c r="H649" s="3" t="str">
        <f aca="false">IF(F649&gt;=Parâmetros!$B$6,"Ação","Acompanhamento")</f>
        <v>Acompanhamento</v>
      </c>
      <c r="I649" s="17" t="n">
        <v>303.779193205945</v>
      </c>
      <c r="J649" s="11" t="n">
        <f aca="false">D649*I649</f>
        <v>1997043.2537155</v>
      </c>
      <c r="K649" s="7" t="n">
        <f aca="false">Parâmetros!$B$4+Parâmetros!$B$5*F649</f>
        <v>0.0346763158834318</v>
      </c>
      <c r="L649" s="11" t="n">
        <f aca="false">D649*(1+G649)</f>
        <v>6852.15347447863</v>
      </c>
      <c r="M649" s="14" t="n">
        <v>0</v>
      </c>
      <c r="N649" s="4" t="n">
        <v>1</v>
      </c>
      <c r="O649" s="3" t="str">
        <f aca="false">IF(AND(B649=4,M649=1),IF(N649&lt;0.8,"Subgrupo 7 dias; fronteira de cluster","Subgrupo 7 dias"),IF(N649&lt;0.8,"Fronteira de cluster",""))</f>
        <v/>
      </c>
    </row>
    <row r="650" customFormat="false" ht="15" hidden="false" customHeight="false" outlineLevel="0" collapsed="false">
      <c r="A650" s="14" t="n">
        <v>649</v>
      </c>
      <c r="B650" s="14" t="n">
        <v>3</v>
      </c>
      <c r="C650" s="14" t="s">
        <v>32</v>
      </c>
      <c r="D650" s="15" t="n">
        <v>3683.79230769231</v>
      </c>
      <c r="E650" s="16" t="n">
        <f aca="false">INDEX(Parâmetros!$C$33:$C$37,MATCH(B650,Parâmetros!$A$33:$A$37,0))</f>
        <v>5909.24487179487</v>
      </c>
      <c r="F650" s="7" t="n">
        <f aca="false">MAX(0,(E650-D650)/D650)</f>
        <v>0.604119987833051</v>
      </c>
      <c r="G650" s="7" t="n">
        <f aca="false">MIN(K650*Parâmetros!$B$19,Parâmetros!$B$8)</f>
        <v>0.2</v>
      </c>
      <c r="H650" s="3" t="str">
        <f aca="false">IF(F650&gt;=Parâmetros!$B$6,"Ação","Acompanhamento")</f>
        <v>Ação</v>
      </c>
      <c r="I650" s="17" t="n">
        <v>302.229299363057</v>
      </c>
      <c r="J650" s="11" t="n">
        <f aca="false">D650*I650</f>
        <v>1113349.96815287</v>
      </c>
      <c r="K650" s="7" t="n">
        <f aca="false">Parâmetros!$B$4+Parâmetros!$B$5*F650</f>
        <v>0.171029996958263</v>
      </c>
      <c r="L650" s="11" t="n">
        <f aca="false">D650*(1+G650)</f>
        <v>4420.55076923077</v>
      </c>
      <c r="M650" s="14" t="n">
        <v>0</v>
      </c>
      <c r="N650" s="4" t="n">
        <v>1</v>
      </c>
      <c r="O650" s="3" t="str">
        <f aca="false">IF(AND(B650=4,M650=1),IF(N650&lt;0.8,"Subgrupo 7 dias; fronteira de cluster","Subgrupo 7 dias"),IF(N650&lt;0.8,"Fronteira de cluster",""))</f>
        <v/>
      </c>
    </row>
    <row r="651" customFormat="false" ht="15" hidden="false" customHeight="false" outlineLevel="0" collapsed="false">
      <c r="A651" s="14" t="n">
        <v>650</v>
      </c>
      <c r="B651" s="14" t="n">
        <v>4</v>
      </c>
      <c r="C651" s="14" t="s">
        <v>33</v>
      </c>
      <c r="D651" s="15" t="n">
        <v>6391.00803858521</v>
      </c>
      <c r="E651" s="16" t="n">
        <f aca="false">INDEX(Parâmetros!$C$33:$C$37,MATCH(B651,Parâmetros!$A$33:$A$37,0))</f>
        <v>8837.10512820513</v>
      </c>
      <c r="F651" s="7" t="n">
        <f aca="false">MAX(0,(E651-D651)/D651)</f>
        <v>0.382740418233212</v>
      </c>
      <c r="G651" s="7" t="n">
        <f aca="false">MIN(K651*Parâmetros!$B$19,Parâmetros!$B$8)</f>
        <v>0.14115800430849</v>
      </c>
      <c r="H651" s="3" t="str">
        <f aca="false">IF(F651&gt;=Parâmetros!$B$6,"Ação","Acompanhamento")</f>
        <v>Ação</v>
      </c>
      <c r="I651" s="17" t="n">
        <v>299.511873350924</v>
      </c>
      <c r="J651" s="11" t="n">
        <f aca="false">D651*I651</f>
        <v>1914182.79023747</v>
      </c>
      <c r="K651" s="7" t="n">
        <f aca="false">Parâmetros!$B$4+Parâmetros!$B$5*F651</f>
        <v>0.115685104558303</v>
      </c>
      <c r="L651" s="11" t="n">
        <f aca="false">D651*(1+G651)</f>
        <v>7293.14997883141</v>
      </c>
      <c r="M651" s="14" t="n">
        <v>0</v>
      </c>
      <c r="N651" s="4" t="n">
        <v>1</v>
      </c>
      <c r="O651" s="3" t="str">
        <f aca="false">IF(AND(B651=4,M651=1),IF(N651&lt;0.8,"Subgrupo 7 dias; fronteira de cluster","Subgrupo 7 dias"),IF(N651&lt;0.8,"Fronteira de cluster",""))</f>
        <v/>
      </c>
    </row>
    <row r="652" customFormat="false" ht="15" hidden="false" customHeight="false" outlineLevel="0" collapsed="false">
      <c r="A652" s="14" t="n">
        <v>651</v>
      </c>
      <c r="B652" s="14" t="n">
        <v>4</v>
      </c>
      <c r="C652" s="14" t="s">
        <v>33</v>
      </c>
      <c r="D652" s="15" t="n">
        <v>7615.86521181001</v>
      </c>
      <c r="E652" s="16" t="n">
        <f aca="false">INDEX(Parâmetros!$C$33:$C$37,MATCH(B652,Parâmetros!$A$33:$A$37,0))</f>
        <v>8837.10512820513</v>
      </c>
      <c r="F652" s="7" t="n">
        <f aca="false">MAX(0,(E652-D652)/D652)</f>
        <v>0.160354717741239</v>
      </c>
      <c r="G652" s="7" t="n">
        <f aca="false">MIN(K652*Parâmetros!$B$19,Parâmetros!$B$8)</f>
        <v>0.0733197078656412</v>
      </c>
      <c r="H652" s="3" t="str">
        <f aca="false">IF(F652&gt;=Parâmetros!$B$6,"Ação","Acompanhamento")</f>
        <v>Ação</v>
      </c>
      <c r="I652" s="17" t="n">
        <v>301.841825902336</v>
      </c>
      <c r="J652" s="11" t="n">
        <f aca="false">D652*I652</f>
        <v>2298786.66135881</v>
      </c>
      <c r="K652" s="7" t="n">
        <f aca="false">Parâmetros!$B$4+Parâmetros!$B$5*F652</f>
        <v>0.0600886794353098</v>
      </c>
      <c r="L652" s="11" t="n">
        <f aca="false">D652*(1+G652)</f>
        <v>8174.25822428402</v>
      </c>
      <c r="M652" s="14" t="n">
        <v>0</v>
      </c>
      <c r="N652" s="4" t="n">
        <v>1</v>
      </c>
      <c r="O652" s="3" t="str">
        <f aca="false">IF(AND(B652=4,M652=1),IF(N652&lt;0.8,"Subgrupo 7 dias; fronteira de cluster","Subgrupo 7 dias"),IF(N652&lt;0.8,"Fronteira de cluster",""))</f>
        <v/>
      </c>
    </row>
    <row r="653" customFormat="false" ht="15" hidden="false" customHeight="false" outlineLevel="0" collapsed="false">
      <c r="A653" s="14" t="n">
        <v>652</v>
      </c>
      <c r="B653" s="14" t="n">
        <v>3</v>
      </c>
      <c r="C653" s="14" t="s">
        <v>32</v>
      </c>
      <c r="D653" s="15" t="n">
        <v>6637.63299232737</v>
      </c>
      <c r="E653" s="16" t="n">
        <f aca="false">INDEX(Parâmetros!$C$33:$C$37,MATCH(B653,Parâmetros!$A$33:$A$37,0))</f>
        <v>5909.24487179487</v>
      </c>
      <c r="F653" s="7" t="n">
        <f aca="false">MAX(0,(E653-D653)/D653)</f>
        <v>0</v>
      </c>
      <c r="G653" s="7" t="n">
        <f aca="false">MIN(K653*Parâmetros!$B$19,Parâmetros!$B$8)</f>
        <v>0.0244038339849275</v>
      </c>
      <c r="H653" s="3" t="str">
        <f aca="false">IF(F653&gt;=Parâmetros!$B$6,"Ação","Acompanhamento")</f>
        <v>Acompanhamento</v>
      </c>
      <c r="I653" s="17" t="n">
        <v>303.004246284501</v>
      </c>
      <c r="J653" s="11" t="n">
        <f aca="false">D653*I653</f>
        <v>2011230.98195329</v>
      </c>
      <c r="K653" s="7" t="n">
        <f aca="false">Parâmetros!$B$4+Parâmetros!$B$5*F653</f>
        <v>0.02</v>
      </c>
      <c r="L653" s="11" t="n">
        <f aca="false">D653*(1+G653)</f>
        <v>6799.616685925</v>
      </c>
      <c r="M653" s="14" t="n">
        <v>0</v>
      </c>
      <c r="N653" s="4" t="n">
        <v>1</v>
      </c>
      <c r="O653" s="3" t="str">
        <f aca="false">IF(AND(B653=4,M653=1),IF(N653&lt;0.8,"Subgrupo 7 dias; fronteira de cluster","Subgrupo 7 dias"),IF(N653&lt;0.8,"Fronteira de cluster",""))</f>
        <v/>
      </c>
    </row>
    <row r="654" customFormat="false" ht="15" hidden="false" customHeight="false" outlineLevel="0" collapsed="false">
      <c r="A654" s="14" t="n">
        <v>653</v>
      </c>
      <c r="B654" s="14" t="n">
        <v>1</v>
      </c>
      <c r="C654" s="14" t="s">
        <v>30</v>
      </c>
      <c r="D654" s="15" t="n">
        <v>5915.50449293967</v>
      </c>
      <c r="E654" s="16" t="n">
        <f aca="false">INDEX(Parâmetros!$C$33:$C$37,MATCH(B654,Parâmetros!$A$33:$A$37,0))</f>
        <v>6959.92435130262</v>
      </c>
      <c r="F654" s="7" t="n">
        <f aca="false">MAX(0,(E654-D654)/D654)</f>
        <v>0.176556346057974</v>
      </c>
      <c r="G654" s="7" t="n">
        <f aca="false">MIN(K654*Parâmetros!$B$19,Parâmetros!$B$8)</f>
        <v>0.0782619809622299</v>
      </c>
      <c r="H654" s="3" t="str">
        <f aca="false">IF(F654&gt;=Parâmetros!$B$6,"Ação","Acompanhamento")</f>
        <v>Ação</v>
      </c>
      <c r="I654" s="17" t="n">
        <v>301.841825902336</v>
      </c>
      <c r="J654" s="11" t="n">
        <f aca="false">D654*I654</f>
        <v>1785546.67728238</v>
      </c>
      <c r="K654" s="7" t="n">
        <f aca="false">Parâmetros!$B$4+Parâmetros!$B$5*F654</f>
        <v>0.0641390865144935</v>
      </c>
      <c r="L654" s="11" t="n">
        <f aca="false">D654*(1+G654)</f>
        <v>6378.4635929481</v>
      </c>
      <c r="M654" s="14" t="n">
        <v>0</v>
      </c>
      <c r="N654" s="4" t="n">
        <v>1</v>
      </c>
      <c r="O654" s="3" t="str">
        <f aca="false">IF(AND(B654=4,M654=1),IF(N654&lt;0.8,"Subgrupo 7 dias; fronteira de cluster","Subgrupo 7 dias"),IF(N654&lt;0.8,"Fronteira de cluster",""))</f>
        <v/>
      </c>
    </row>
    <row r="655" customFormat="false" ht="15" hidden="false" customHeight="false" outlineLevel="0" collapsed="false">
      <c r="A655" s="14" t="n">
        <v>654</v>
      </c>
      <c r="B655" s="14" t="n">
        <v>3</v>
      </c>
      <c r="C655" s="14" t="s">
        <v>32</v>
      </c>
      <c r="D655" s="15" t="n">
        <v>6475.15256410256</v>
      </c>
      <c r="E655" s="16" t="n">
        <f aca="false">INDEX(Parâmetros!$C$33:$C$37,MATCH(B655,Parâmetros!$A$33:$A$37,0))</f>
        <v>5909.24487179487</v>
      </c>
      <c r="F655" s="7" t="n">
        <f aca="false">MAX(0,(E655-D655)/D655)</f>
        <v>0</v>
      </c>
      <c r="G655" s="7" t="n">
        <f aca="false">MIN(K655*Parâmetros!$B$19,Parâmetros!$B$8)</f>
        <v>0.0244038339849275</v>
      </c>
      <c r="H655" s="3" t="str">
        <f aca="false">IF(F655&gt;=Parâmetros!$B$6,"Ação","Acompanhamento")</f>
        <v>Acompanhamento</v>
      </c>
      <c r="I655" s="17" t="n">
        <v>302.229299363057</v>
      </c>
      <c r="J655" s="11" t="n">
        <f aca="false">D655*I655</f>
        <v>1956980.82271762</v>
      </c>
      <c r="K655" s="7" t="n">
        <f aca="false">Parâmetros!$B$4+Parâmetros!$B$5*F655</f>
        <v>0.02</v>
      </c>
      <c r="L655" s="11" t="n">
        <f aca="false">D655*(1+G655)</f>
        <v>6633.171112304</v>
      </c>
      <c r="M655" s="14" t="n">
        <v>0</v>
      </c>
      <c r="N655" s="4" t="n">
        <v>1</v>
      </c>
      <c r="O655" s="3" t="str">
        <f aca="false">IF(AND(B655=4,M655=1),IF(N655&lt;0.8,"Subgrupo 7 dias; fronteira de cluster","Subgrupo 7 dias"),IF(N655&lt;0.8,"Fronteira de cluster",""))</f>
        <v/>
      </c>
    </row>
    <row r="656" customFormat="false" ht="15" hidden="false" customHeight="false" outlineLevel="0" collapsed="false">
      <c r="A656" s="14" t="n">
        <v>655</v>
      </c>
      <c r="B656" s="14" t="n">
        <v>1</v>
      </c>
      <c r="C656" s="14" t="s">
        <v>30</v>
      </c>
      <c r="D656" s="15" t="n">
        <v>8031.71116816431</v>
      </c>
      <c r="E656" s="16" t="n">
        <f aca="false">INDEX(Parâmetros!$C$33:$C$37,MATCH(B656,Parâmetros!$A$33:$A$37,0))</f>
        <v>6959.92435130262</v>
      </c>
      <c r="F656" s="7" t="n">
        <f aca="false">MAX(0,(E656-D656)/D656)</f>
        <v>0</v>
      </c>
      <c r="G656" s="7" t="n">
        <f aca="false">MIN(K656*Parâmetros!$B$19,Parâmetros!$B$8)</f>
        <v>0.0244038339849275</v>
      </c>
      <c r="H656" s="3" t="str">
        <f aca="false">IF(F656&gt;=Parâmetros!$B$6,"Ação","Acompanhamento")</f>
        <v>Acompanhamento</v>
      </c>
      <c r="I656" s="17" t="n">
        <v>301.841825902336</v>
      </c>
      <c r="J656" s="11" t="n">
        <f aca="false">D656*I656</f>
        <v>2424306.3641189</v>
      </c>
      <c r="K656" s="7" t="n">
        <f aca="false">Parâmetros!$B$4+Parâmetros!$B$5*F656</f>
        <v>0.02</v>
      </c>
      <c r="L656" s="11" t="n">
        <f aca="false">D656*(1+G656)</f>
        <v>8227.71571412708</v>
      </c>
      <c r="M656" s="14" t="n">
        <v>0</v>
      </c>
      <c r="N656" s="4" t="n">
        <v>1</v>
      </c>
      <c r="O656" s="3" t="str">
        <f aca="false">IF(AND(B656=4,M656=1),IF(N656&lt;0.8,"Subgrupo 7 dias; fronteira de cluster","Subgrupo 7 dias"),IF(N656&lt;0.8,"Fronteira de cluster",""))</f>
        <v/>
      </c>
    </row>
    <row r="657" customFormat="false" ht="15" hidden="false" customHeight="false" outlineLevel="0" collapsed="false">
      <c r="A657" s="14" t="n">
        <v>656</v>
      </c>
      <c r="B657" s="14" t="n">
        <v>0</v>
      </c>
      <c r="C657" s="14" t="s">
        <v>29</v>
      </c>
      <c r="D657" s="15" t="n">
        <v>3245.19206145967</v>
      </c>
      <c r="E657" s="16" t="n">
        <f aca="false">INDEX(Parâmetros!$C$33:$C$37,MATCH(B657,Parâmetros!$A$33:$A$37,0))</f>
        <v>5476.37033462034</v>
      </c>
      <c r="F657" s="7" t="n">
        <f aca="false">MAX(0,(E657-D657)/D657)</f>
        <v>0.687533505230226</v>
      </c>
      <c r="G657" s="7" t="n">
        <f aca="false">MIN(K657*Parâmetros!$B$19,Parâmetros!$B$8)</f>
        <v>0.2</v>
      </c>
      <c r="H657" s="3" t="str">
        <f aca="false">IF(F657&gt;=Parâmetros!$B$6,"Ação","Acompanhamento")</f>
        <v>Ação</v>
      </c>
      <c r="I657" s="17" t="n">
        <v>302.616772823779</v>
      </c>
      <c r="J657" s="11" t="n">
        <f aca="false">D657*I657</f>
        <v>982049.548832272</v>
      </c>
      <c r="K657" s="7" t="n">
        <f aca="false">Parâmetros!$B$4+Parâmetros!$B$5*F657</f>
        <v>0.191883376307556</v>
      </c>
      <c r="L657" s="11" t="n">
        <f aca="false">D657*(1+G657)</f>
        <v>3894.2304737516</v>
      </c>
      <c r="M657" s="14" t="n">
        <v>0</v>
      </c>
      <c r="N657" s="4" t="n">
        <v>1</v>
      </c>
      <c r="O657" s="3" t="str">
        <f aca="false">IF(AND(B657=4,M657=1),IF(N657&lt;0.8,"Subgrupo 7 dias; fronteira de cluster","Subgrupo 7 dias"),IF(N657&lt;0.8,"Fronteira de cluster",""))</f>
        <v/>
      </c>
    </row>
    <row r="658" customFormat="false" ht="15" hidden="false" customHeight="false" outlineLevel="0" collapsed="false">
      <c r="A658" s="14" t="n">
        <v>657</v>
      </c>
      <c r="B658" s="14" t="n">
        <v>0</v>
      </c>
      <c r="C658" s="14" t="s">
        <v>29</v>
      </c>
      <c r="D658" s="15" t="n">
        <v>6054.71520618557</v>
      </c>
      <c r="E658" s="16" t="n">
        <f aca="false">INDEX(Parâmetros!$C$33:$C$37,MATCH(B658,Parâmetros!$A$33:$A$37,0))</f>
        <v>5476.37033462034</v>
      </c>
      <c r="F658" s="7" t="n">
        <f aca="false">MAX(0,(E658-D658)/D658)</f>
        <v>0</v>
      </c>
      <c r="G658" s="7" t="n">
        <f aca="false">MIN(K658*Parâmetros!$B$19,Parâmetros!$B$8)</f>
        <v>0.0244038339849275</v>
      </c>
      <c r="H658" s="3" t="str">
        <f aca="false">IF(F658&gt;=Parâmetros!$B$6,"Ação","Acompanhamento")</f>
        <v>Acompanhamento</v>
      </c>
      <c r="I658" s="17" t="n">
        <v>300.67940552017</v>
      </c>
      <c r="J658" s="11" t="n">
        <f aca="false">D658*I658</f>
        <v>1820528.16878981</v>
      </c>
      <c r="K658" s="7" t="n">
        <f aca="false">Parâmetros!$B$4+Parâmetros!$B$5*F658</f>
        <v>0.02</v>
      </c>
      <c r="L658" s="11" t="n">
        <f aca="false">D658*(1+G658)</f>
        <v>6202.47347090334</v>
      </c>
      <c r="M658" s="14" t="n">
        <v>0</v>
      </c>
      <c r="N658" s="4" t="n">
        <v>0.962962962962963</v>
      </c>
      <c r="O658" s="3" t="str">
        <f aca="false">IF(AND(B658=4,M658=1),IF(N658&lt;0.8,"Subgrupo 7 dias; fronteira de cluster","Subgrupo 7 dias"),IF(N658&lt;0.8,"Fronteira de cluster",""))</f>
        <v/>
      </c>
    </row>
    <row r="659" customFormat="false" ht="15" hidden="false" customHeight="false" outlineLevel="0" collapsed="false">
      <c r="A659" s="14" t="n">
        <v>658</v>
      </c>
      <c r="B659" s="14" t="n">
        <v>0</v>
      </c>
      <c r="C659" s="14" t="s">
        <v>29</v>
      </c>
      <c r="D659" s="15" t="n">
        <v>6058.83055198973</v>
      </c>
      <c r="E659" s="16" t="n">
        <f aca="false">INDEX(Parâmetros!$C$33:$C$37,MATCH(B659,Parâmetros!$A$33:$A$37,0))</f>
        <v>5476.37033462034</v>
      </c>
      <c r="F659" s="7" t="n">
        <f aca="false">MAX(0,(E659-D659)/D659)</f>
        <v>0</v>
      </c>
      <c r="G659" s="7" t="n">
        <f aca="false">MIN(K659*Parâmetros!$B$19,Parâmetros!$B$8)</f>
        <v>0.0244038339849275</v>
      </c>
      <c r="H659" s="3" t="str">
        <f aca="false">IF(F659&gt;=Parâmetros!$B$6,"Ação","Acompanhamento")</f>
        <v>Acompanhamento</v>
      </c>
      <c r="I659" s="17" t="n">
        <v>301.841825902336</v>
      </c>
      <c r="J659" s="11" t="n">
        <f aca="false">D659*I659</f>
        <v>1828808.47664544</v>
      </c>
      <c r="K659" s="7" t="n">
        <f aca="false">Parâmetros!$B$4+Parâmetros!$B$5*F659</f>
        <v>0.02</v>
      </c>
      <c r="L659" s="11" t="n">
        <f aca="false">D659*(1+G659)</f>
        <v>6206.68924692329</v>
      </c>
      <c r="M659" s="14" t="n">
        <v>0</v>
      </c>
      <c r="N659" s="4" t="n">
        <v>0.98780487804878</v>
      </c>
      <c r="O659" s="3" t="str">
        <f aca="false">IF(AND(B659=4,M659=1),IF(N659&lt;0.8,"Subgrupo 7 dias; fronteira de cluster","Subgrupo 7 dias"),IF(N659&lt;0.8,"Fronteira de cluster",""))</f>
        <v/>
      </c>
    </row>
    <row r="660" customFormat="false" ht="15" hidden="false" customHeight="false" outlineLevel="0" collapsed="false">
      <c r="A660" s="14" t="n">
        <v>659</v>
      </c>
      <c r="B660" s="14" t="n">
        <v>0</v>
      </c>
      <c r="C660" s="14" t="s">
        <v>29</v>
      </c>
      <c r="D660" s="15" t="n">
        <v>5643.96670934699</v>
      </c>
      <c r="E660" s="16" t="n">
        <f aca="false">INDEX(Parâmetros!$C$33:$C$37,MATCH(B660,Parâmetros!$A$33:$A$37,0))</f>
        <v>5476.37033462034</v>
      </c>
      <c r="F660" s="7" t="n">
        <f aca="false">MAX(0,(E660-D660)/D660)</f>
        <v>0</v>
      </c>
      <c r="G660" s="7" t="n">
        <f aca="false">MIN(K660*Parâmetros!$B$19,Parâmetros!$B$8)</f>
        <v>0.0244038339849275</v>
      </c>
      <c r="H660" s="3" t="str">
        <f aca="false">IF(F660&gt;=Parâmetros!$B$6,"Ação","Acompanhamento")</f>
        <v>Acompanhamento</v>
      </c>
      <c r="I660" s="17" t="n">
        <v>302.616772823779</v>
      </c>
      <c r="J660" s="11" t="n">
        <f aca="false">D660*I660</f>
        <v>1707958.99150743</v>
      </c>
      <c r="K660" s="7" t="n">
        <f aca="false">Parâmetros!$B$4+Parâmetros!$B$5*F660</f>
        <v>0.02</v>
      </c>
      <c r="L660" s="11" t="n">
        <f aca="false">D660*(1+G660)</f>
        <v>5781.70113593835</v>
      </c>
      <c r="M660" s="14" t="n">
        <v>0</v>
      </c>
      <c r="N660" s="4" t="n">
        <v>0.975609756097561</v>
      </c>
      <c r="O660" s="3" t="str">
        <f aca="false">IF(AND(B660=4,M660=1),IF(N660&lt;0.8,"Subgrupo 7 dias; fronteira de cluster","Subgrupo 7 dias"),IF(N660&lt;0.8,"Fronteira de cluster",""))</f>
        <v/>
      </c>
    </row>
    <row r="661" customFormat="false" ht="15" hidden="false" customHeight="false" outlineLevel="0" collapsed="false">
      <c r="A661" s="14" t="n">
        <v>660</v>
      </c>
      <c r="B661" s="14" t="n">
        <v>3</v>
      </c>
      <c r="C661" s="14" t="s">
        <v>32</v>
      </c>
      <c r="D661" s="15" t="n">
        <v>4616.59967845659</v>
      </c>
      <c r="E661" s="16" t="n">
        <f aca="false">INDEX(Parâmetros!$C$33:$C$37,MATCH(B661,Parâmetros!$A$33:$A$37,0))</f>
        <v>5909.24487179487</v>
      </c>
      <c r="F661" s="7" t="n">
        <f aca="false">MAX(0,(E661-D661)/D661)</f>
        <v>0.279999411551845</v>
      </c>
      <c r="G661" s="7" t="n">
        <f aca="false">MIN(K661*Parâmetros!$B$19,Parâmetros!$B$8)</f>
        <v>0.109817073427285</v>
      </c>
      <c r="H661" s="3" t="str">
        <f aca="false">IF(F661&gt;=Parâmetros!$B$6,"Ação","Acompanhamento")</f>
        <v>Ação</v>
      </c>
      <c r="I661" s="17" t="n">
        <v>299.511873350924</v>
      </c>
      <c r="J661" s="11" t="n">
        <f aca="false">D661*I661</f>
        <v>1382726.41820581</v>
      </c>
      <c r="K661" s="7" t="n">
        <f aca="false">Parâmetros!$B$4+Parâmetros!$B$5*F661</f>
        <v>0.0899998528879612</v>
      </c>
      <c r="L661" s="11" t="n">
        <f aca="false">D661*(1+G661)</f>
        <v>5123.58114433004</v>
      </c>
      <c r="M661" s="14" t="n">
        <v>0</v>
      </c>
      <c r="N661" s="4" t="n">
        <v>0.893333333333333</v>
      </c>
      <c r="O661" s="3" t="str">
        <f aca="false">IF(AND(B661=4,M661=1),IF(N661&lt;0.8,"Subgrupo 7 dias; fronteira de cluster","Subgrupo 7 dias"),IF(N661&lt;0.8,"Fronteira de cluster",""))</f>
        <v/>
      </c>
    </row>
    <row r="662" customFormat="false" ht="15" hidden="false" customHeight="false" outlineLevel="0" collapsed="false">
      <c r="A662" s="14" t="n">
        <v>661</v>
      </c>
      <c r="B662" s="14" t="n">
        <v>1</v>
      </c>
      <c r="C662" s="14" t="s">
        <v>30</v>
      </c>
      <c r="D662" s="15" t="n">
        <v>7166.54036458333</v>
      </c>
      <c r="E662" s="16" t="n">
        <f aca="false">INDEX(Parâmetros!$C$33:$C$37,MATCH(B662,Parâmetros!$A$33:$A$37,0))</f>
        <v>6959.92435130262</v>
      </c>
      <c r="F662" s="7" t="n">
        <f aca="false">MAX(0,(E662-D662)/D662)</f>
        <v>0</v>
      </c>
      <c r="G662" s="7" t="n">
        <f aca="false">MIN(K662*Parâmetros!$B$19,Parâmetros!$B$8)</f>
        <v>0.0244038339849275</v>
      </c>
      <c r="H662" s="3" t="str">
        <f aca="false">IF(F662&gt;=Parâmetros!$B$6,"Ação","Acompanhamento")</f>
        <v>Acompanhamento</v>
      </c>
      <c r="I662" s="17" t="n">
        <v>297.967091295117</v>
      </c>
      <c r="J662" s="11" t="n">
        <f aca="false">D662*I662</f>
        <v>2135393.18708394</v>
      </c>
      <c r="K662" s="7" t="n">
        <f aca="false">Parâmetros!$B$4+Parâmetros!$B$5*F662</f>
        <v>0.02</v>
      </c>
      <c r="L662" s="11" t="n">
        <f aca="false">D662*(1+G662)</f>
        <v>7341.43142588691</v>
      </c>
      <c r="M662" s="14" t="n">
        <v>0</v>
      </c>
      <c r="N662" s="4" t="n">
        <v>1</v>
      </c>
      <c r="O662" s="3" t="str">
        <f aca="false">IF(AND(B662=4,M662=1),IF(N662&lt;0.8,"Subgrupo 7 dias; fronteira de cluster","Subgrupo 7 dias"),IF(N662&lt;0.8,"Fronteira de cluster",""))</f>
        <v/>
      </c>
    </row>
    <row r="663" customFormat="false" ht="15" hidden="false" customHeight="false" outlineLevel="0" collapsed="false">
      <c r="A663" s="14" t="n">
        <v>662</v>
      </c>
      <c r="B663" s="14" t="n">
        <v>3</v>
      </c>
      <c r="C663" s="14" t="s">
        <v>32</v>
      </c>
      <c r="D663" s="15" t="n">
        <v>8439.52423469388</v>
      </c>
      <c r="E663" s="16" t="n">
        <f aca="false">INDEX(Parâmetros!$C$33:$C$37,MATCH(B663,Parâmetros!$A$33:$A$37,0))</f>
        <v>5909.24487179487</v>
      </c>
      <c r="F663" s="7" t="n">
        <f aca="false">MAX(0,(E663-D663)/D663)</f>
        <v>0</v>
      </c>
      <c r="G663" s="7" t="n">
        <f aca="false">MIN(K663*Parâmetros!$B$19,Parâmetros!$B$8)</f>
        <v>0.0244038339849275</v>
      </c>
      <c r="H663" s="3" t="str">
        <f aca="false">IF(F663&gt;=Parâmetros!$B$6,"Ação","Acompanhamento")</f>
        <v>Acompanhamento</v>
      </c>
      <c r="I663" s="17" t="n">
        <v>303.779193205945</v>
      </c>
      <c r="J663" s="11" t="n">
        <f aca="false">D663*I663</f>
        <v>2563751.86305733</v>
      </c>
      <c r="K663" s="7" t="n">
        <f aca="false">Parâmetros!$B$4+Parâmetros!$B$5*F663</f>
        <v>0.02</v>
      </c>
      <c r="L663" s="11" t="n">
        <f aca="false">D663*(1+G663)</f>
        <v>8645.48098302912</v>
      </c>
      <c r="M663" s="14" t="n">
        <v>0</v>
      </c>
      <c r="N663" s="4" t="n">
        <v>0.783783783783784</v>
      </c>
      <c r="O663" s="3" t="str">
        <f aca="false">IF(AND(B663=4,M663=1),IF(N663&lt;0.8,"Subgrupo 7 dias; fronteira de cluster","Subgrupo 7 dias"),IF(N663&lt;0.8,"Fronteira de cluster",""))</f>
        <v>Fronteira de cluster</v>
      </c>
    </row>
    <row r="664" customFormat="false" ht="15" hidden="false" customHeight="false" outlineLevel="0" collapsed="false">
      <c r="A664" s="14" t="n">
        <v>663</v>
      </c>
      <c r="B664" s="14" t="n">
        <v>2</v>
      </c>
      <c r="C664" s="14" t="s">
        <v>31</v>
      </c>
      <c r="D664" s="15" t="n">
        <v>4792.55687830688</v>
      </c>
      <c r="E664" s="16" t="n">
        <f aca="false">INDEX(Parâmetros!$C$33:$C$37,MATCH(B664,Parâmetros!$A$33:$A$37,0))</f>
        <v>6324.80102695764</v>
      </c>
      <c r="F664" s="7" t="n">
        <f aca="false">MAX(0,(E664-D664)/D664)</f>
        <v>0.319713294501801</v>
      </c>
      <c r="G664" s="7" t="n">
        <f aca="false">MIN(K664*Parâmetros!$B$19,Parâmetros!$B$8)</f>
        <v>0.12193171100738</v>
      </c>
      <c r="H664" s="3" t="str">
        <f aca="false">IF(F664&gt;=Parâmetros!$B$6,"Ação","Acompanhamento")</f>
        <v>Ação</v>
      </c>
      <c r="I664" s="17" t="n">
        <v>293.317409766454</v>
      </c>
      <c r="J664" s="11" t="n">
        <f aca="false">D664*I664</f>
        <v>1405740.36970338</v>
      </c>
      <c r="K664" s="7" t="n">
        <f aca="false">Parâmetros!$B$4+Parâmetros!$B$5*F664</f>
        <v>0.0999283236254503</v>
      </c>
      <c r="L664" s="11" t="n">
        <f aca="false">D664*(1+G664)</f>
        <v>5376.92153857902</v>
      </c>
      <c r="M664" s="14" t="n">
        <v>0</v>
      </c>
      <c r="N664" s="4" t="n">
        <v>0.985507246376812</v>
      </c>
      <c r="O664" s="3" t="str">
        <f aca="false">IF(AND(B664=4,M664=1),IF(N664&lt;0.8,"Subgrupo 7 dias; fronteira de cluster","Subgrupo 7 dias"),IF(N664&lt;0.8,"Fronteira de cluster",""))</f>
        <v/>
      </c>
    </row>
    <row r="665" customFormat="false" ht="15" hidden="false" customHeight="false" outlineLevel="0" collapsed="false">
      <c r="A665" s="14" t="n">
        <v>664</v>
      </c>
      <c r="B665" s="14" t="n">
        <v>0</v>
      </c>
      <c r="C665" s="14" t="s">
        <v>29</v>
      </c>
      <c r="D665" s="15" t="n">
        <v>4946.35641025641</v>
      </c>
      <c r="E665" s="16" t="n">
        <f aca="false">INDEX(Parâmetros!$C$33:$C$37,MATCH(B665,Parâmetros!$A$33:$A$37,0))</f>
        <v>5476.37033462034</v>
      </c>
      <c r="F665" s="7" t="n">
        <f aca="false">MAX(0,(E665-D665)/D665)</f>
        <v>0.107152392671285</v>
      </c>
      <c r="G665" s="7" t="n">
        <f aca="false">MIN(K665*Parâmetros!$B$19,Parâmetros!$B$8)</f>
        <v>0.0570904490078999</v>
      </c>
      <c r="H665" s="3" t="str">
        <f aca="false">IF(F665&gt;=Parâmetros!$B$6,"Ação","Acompanhamento")</f>
        <v>Ação</v>
      </c>
      <c r="I665" s="17" t="n">
        <v>302.229299363057</v>
      </c>
      <c r="J665" s="11" t="n">
        <f aca="false">D665*I665</f>
        <v>1494933.83227176</v>
      </c>
      <c r="K665" s="7" t="n">
        <f aca="false">Parâmetros!$B$4+Parâmetros!$B$5*F665</f>
        <v>0.0467880981678213</v>
      </c>
      <c r="L665" s="11" t="n">
        <f aca="false">D665*(1+G665)</f>
        <v>5228.74611867105</v>
      </c>
      <c r="M665" s="14" t="n">
        <v>0</v>
      </c>
      <c r="N665" s="4" t="n">
        <v>1</v>
      </c>
      <c r="O665" s="3" t="str">
        <f aca="false">IF(AND(B665=4,M665=1),IF(N665&lt;0.8,"Subgrupo 7 dias; fronteira de cluster","Subgrupo 7 dias"),IF(N665&lt;0.8,"Fronteira de cluster",""))</f>
        <v/>
      </c>
    </row>
    <row r="666" customFormat="false" ht="15" hidden="false" customHeight="false" outlineLevel="0" collapsed="false">
      <c r="A666" s="14" t="n">
        <v>665</v>
      </c>
      <c r="B666" s="14" t="n">
        <v>0</v>
      </c>
      <c r="C666" s="14" t="s">
        <v>29</v>
      </c>
      <c r="D666" s="15" t="n">
        <v>8228.48771021992</v>
      </c>
      <c r="E666" s="16" t="n">
        <f aca="false">INDEX(Parâmetros!$C$33:$C$37,MATCH(B666,Parâmetros!$A$33:$A$37,0))</f>
        <v>5476.37033462034</v>
      </c>
      <c r="F666" s="7" t="n">
        <f aca="false">MAX(0,(E666-D666)/D666)</f>
        <v>0</v>
      </c>
      <c r="G666" s="7" t="n">
        <f aca="false">MIN(K666*Parâmetros!$B$19,Parâmetros!$B$8)</f>
        <v>0.0244038339849275</v>
      </c>
      <c r="H666" s="3" t="str">
        <f aca="false">IF(F666&gt;=Parâmetros!$B$6,"Ação","Acompanhamento")</f>
        <v>Acompanhamento</v>
      </c>
      <c r="I666" s="17" t="n">
        <v>300.291932059448</v>
      </c>
      <c r="J666" s="11" t="n">
        <f aca="false">D666*I666</f>
        <v>2470948.47242936</v>
      </c>
      <c r="K666" s="7" t="n">
        <f aca="false">Parâmetros!$B$4+Parâmetros!$B$5*F666</f>
        <v>0.02</v>
      </c>
      <c r="L666" s="11" t="n">
        <f aca="false">D666*(1+G666)</f>
        <v>8429.29435824715</v>
      </c>
      <c r="M666" s="14" t="n">
        <v>0</v>
      </c>
      <c r="N666" s="4" t="n">
        <v>0.987179487179487</v>
      </c>
      <c r="O666" s="3" t="str">
        <f aca="false">IF(AND(B666=4,M666=1),IF(N666&lt;0.8,"Subgrupo 7 dias; fronteira de cluster","Subgrupo 7 dias"),IF(N666&lt;0.8,"Fronteira de cluster",""))</f>
        <v/>
      </c>
    </row>
    <row r="667" customFormat="false" ht="15" hidden="false" customHeight="false" outlineLevel="0" collapsed="false">
      <c r="A667" s="14" t="n">
        <v>666</v>
      </c>
      <c r="B667" s="14" t="n">
        <v>1</v>
      </c>
      <c r="C667" s="14" t="s">
        <v>30</v>
      </c>
      <c r="D667" s="15" t="n">
        <v>7016.61003861004</v>
      </c>
      <c r="E667" s="16" t="n">
        <f aca="false">INDEX(Parâmetros!$C$33:$C$37,MATCH(B667,Parâmetros!$A$33:$A$37,0))</f>
        <v>6959.92435130262</v>
      </c>
      <c r="F667" s="7" t="n">
        <f aca="false">MAX(0,(E667-D667)/D667)</f>
        <v>0</v>
      </c>
      <c r="G667" s="7" t="n">
        <f aca="false">MIN(K667*Parâmetros!$B$19,Parâmetros!$B$8)</f>
        <v>0.0244038339849275</v>
      </c>
      <c r="H667" s="3" t="str">
        <f aca="false">IF(F667&gt;=Parâmetros!$B$6,"Ação","Acompanhamento")</f>
        <v>Acompanhamento</v>
      </c>
      <c r="I667" s="17" t="n">
        <v>301.066878980892</v>
      </c>
      <c r="J667" s="11" t="n">
        <f aca="false">D667*I667</f>
        <v>2112468.88535032</v>
      </c>
      <c r="K667" s="7" t="n">
        <f aca="false">Parâmetros!$B$4+Parâmetros!$B$5*F667</f>
        <v>0.02</v>
      </c>
      <c r="L667" s="11" t="n">
        <f aca="false">D667*(1+G667)</f>
        <v>7187.84222512925</v>
      </c>
      <c r="M667" s="14" t="n">
        <v>0</v>
      </c>
      <c r="N667" s="4" t="n">
        <v>1</v>
      </c>
      <c r="O667" s="3" t="str">
        <f aca="false">IF(AND(B667=4,M667=1),IF(N667&lt;0.8,"Subgrupo 7 dias; fronteira de cluster","Subgrupo 7 dias"),IF(N667&lt;0.8,"Fronteira de cluster",""))</f>
        <v/>
      </c>
    </row>
    <row r="668" customFormat="false" ht="15" hidden="false" customHeight="false" outlineLevel="0" collapsed="false">
      <c r="A668" s="14" t="n">
        <v>667</v>
      </c>
      <c r="B668" s="14" t="n">
        <v>1</v>
      </c>
      <c r="C668" s="14" t="s">
        <v>30</v>
      </c>
      <c r="D668" s="15" t="n">
        <v>8786.50191570881</v>
      </c>
      <c r="E668" s="16" t="n">
        <f aca="false">INDEX(Parâmetros!$C$33:$C$37,MATCH(B668,Parâmetros!$A$33:$A$37,0))</f>
        <v>6959.92435130262</v>
      </c>
      <c r="F668" s="7" t="n">
        <f aca="false">MAX(0,(E668-D668)/D668)</f>
        <v>0</v>
      </c>
      <c r="G668" s="7" t="n">
        <f aca="false">MIN(K668*Parâmetros!$B$19,Parâmetros!$B$8)</f>
        <v>0.0244038339849275</v>
      </c>
      <c r="H668" s="3" t="str">
        <f aca="false">IF(F668&gt;=Parâmetros!$B$6,"Ação","Acompanhamento")</f>
        <v>Acompanhamento</v>
      </c>
      <c r="I668" s="17" t="n">
        <v>303.391719745223</v>
      </c>
      <c r="J668" s="11" t="n">
        <f aca="false">D668*I668</f>
        <v>2665751.92675159</v>
      </c>
      <c r="K668" s="7" t="n">
        <f aca="false">Parâmetros!$B$4+Parâmetros!$B$5*F668</f>
        <v>0.02</v>
      </c>
      <c r="L668" s="11" t="n">
        <f aca="false">D668*(1+G668)</f>
        <v>9000.92624976802</v>
      </c>
      <c r="M668" s="14" t="n">
        <v>0</v>
      </c>
      <c r="N668" s="4" t="n">
        <v>1</v>
      </c>
      <c r="O668" s="3" t="str">
        <f aca="false">IF(AND(B668=4,M668=1),IF(N668&lt;0.8,"Subgrupo 7 dias; fronteira de cluster","Subgrupo 7 dias"),IF(N668&lt;0.8,"Fronteira de cluster",""))</f>
        <v/>
      </c>
    </row>
    <row r="669" customFormat="false" ht="15" hidden="false" customHeight="false" outlineLevel="0" collapsed="false">
      <c r="A669" s="14" t="n">
        <v>668</v>
      </c>
      <c r="B669" s="14" t="n">
        <v>4</v>
      </c>
      <c r="C669" s="14" t="s">
        <v>33</v>
      </c>
      <c r="D669" s="15" t="n">
        <v>8940.85331632653</v>
      </c>
      <c r="E669" s="16" t="n">
        <f aca="false">INDEX(Parâmetros!$C$33:$C$37,MATCH(B669,Parâmetros!$A$33:$A$37,0))</f>
        <v>8837.10512820513</v>
      </c>
      <c r="F669" s="7" t="n">
        <f aca="false">MAX(0,(E669-D669)/D669)</f>
        <v>0</v>
      </c>
      <c r="G669" s="7" t="n">
        <f aca="false">MIN(K669*Parâmetros!$B$19,Parâmetros!$B$8)</f>
        <v>0.0244038339849275</v>
      </c>
      <c r="H669" s="3" t="str">
        <f aca="false">IF(F669&gt;=Parâmetros!$B$6,"Ação","Acompanhamento")</f>
        <v>Acompanhamento</v>
      </c>
      <c r="I669" s="17" t="n">
        <v>303.779193205945</v>
      </c>
      <c r="J669" s="11" t="n">
        <f aca="false">D669*I669</f>
        <v>2716045.20700637</v>
      </c>
      <c r="K669" s="7" t="n">
        <f aca="false">Parâmetros!$B$4+Parâmetros!$B$5*F669</f>
        <v>0.02</v>
      </c>
      <c r="L669" s="11" t="n">
        <f aca="false">D669*(1+G669)</f>
        <v>9159.04441634175</v>
      </c>
      <c r="M669" s="14" t="n">
        <v>0</v>
      </c>
      <c r="N669" s="4" t="n">
        <v>1</v>
      </c>
      <c r="O669" s="3" t="str">
        <f aca="false">IF(AND(B669=4,M669=1),IF(N669&lt;0.8,"Subgrupo 7 dias; fronteira de cluster","Subgrupo 7 dias"),IF(N669&lt;0.8,"Fronteira de cluster",""))</f>
        <v/>
      </c>
    </row>
    <row r="670" customFormat="false" ht="15" hidden="false" customHeight="false" outlineLevel="0" collapsed="false">
      <c r="A670" s="14" t="n">
        <v>669</v>
      </c>
      <c r="B670" s="14" t="n">
        <v>1</v>
      </c>
      <c r="C670" s="14" t="s">
        <v>30</v>
      </c>
      <c r="D670" s="15" t="n">
        <v>4514.2347266881</v>
      </c>
      <c r="E670" s="16" t="n">
        <f aca="false">INDEX(Parâmetros!$C$33:$C$37,MATCH(B670,Parâmetros!$A$33:$A$37,0))</f>
        <v>6959.92435130262</v>
      </c>
      <c r="F670" s="7" t="n">
        <f aca="false">MAX(0,(E670-D670)/D670)</f>
        <v>0.541772808169595</v>
      </c>
      <c r="G670" s="7" t="n">
        <f aca="false">MIN(K670*Parâmetros!$B$19,Parâmetros!$B$8)</f>
        <v>0.189670504836412</v>
      </c>
      <c r="H670" s="3" t="str">
        <f aca="false">IF(F670&gt;=Parâmetros!$B$6,"Ação","Acompanhamento")</f>
        <v>Ação</v>
      </c>
      <c r="I670" s="17" t="n">
        <v>299.511873350924</v>
      </c>
      <c r="J670" s="11" t="n">
        <f aca="false">D670*I670</f>
        <v>1352066.89973615</v>
      </c>
      <c r="K670" s="7" t="n">
        <f aca="false">Parâmetros!$B$4+Parâmetros!$B$5*F670</f>
        <v>0.155443202042399</v>
      </c>
      <c r="L670" s="11" t="n">
        <f aca="false">D670*(1+G670)</f>
        <v>5370.4519062491</v>
      </c>
      <c r="M670" s="14" t="n">
        <v>0</v>
      </c>
      <c r="N670" s="4" t="n">
        <v>1</v>
      </c>
      <c r="O670" s="3" t="str">
        <f aca="false">IF(AND(B670=4,M670=1),IF(N670&lt;0.8,"Subgrupo 7 dias; fronteira de cluster","Subgrupo 7 dias"),IF(N670&lt;0.8,"Fronteira de cluster",""))</f>
        <v/>
      </c>
    </row>
    <row r="671" customFormat="false" ht="15" hidden="false" customHeight="false" outlineLevel="0" collapsed="false">
      <c r="A671" s="14" t="n">
        <v>670</v>
      </c>
      <c r="B671" s="14" t="n">
        <v>0</v>
      </c>
      <c r="C671" s="14" t="s">
        <v>29</v>
      </c>
      <c r="D671" s="15" t="n">
        <v>6589.94847020934</v>
      </c>
      <c r="E671" s="16" t="n">
        <f aca="false">INDEX(Parâmetros!$C$33:$C$37,MATCH(B671,Parâmetros!$A$33:$A$37,0))</f>
        <v>5476.37033462034</v>
      </c>
      <c r="F671" s="7" t="n">
        <f aca="false">MAX(0,(E671-D671)/D671)</f>
        <v>0</v>
      </c>
      <c r="G671" s="7" t="n">
        <f aca="false">MIN(K671*Parâmetros!$B$19,Parâmetros!$B$8)</f>
        <v>0.0244038339849275</v>
      </c>
      <c r="H671" s="3" t="str">
        <f aca="false">IF(F671&gt;=Parâmetros!$B$6,"Ação","Acompanhamento")</f>
        <v>Acompanhamento</v>
      </c>
      <c r="I671" s="17" t="n">
        <v>299.030343007916</v>
      </c>
      <c r="J671" s="11" t="n">
        <f aca="false">D671*I671</f>
        <v>1970594.55145119</v>
      </c>
      <c r="K671" s="7" t="n">
        <f aca="false">Parâmetros!$B$4+Parâmetros!$B$5*F671</f>
        <v>0.02</v>
      </c>
      <c r="L671" s="11" t="n">
        <f aca="false">D671*(1+G671)</f>
        <v>6750.76847864556</v>
      </c>
      <c r="M671" s="14" t="n">
        <v>0</v>
      </c>
      <c r="N671" s="4" t="n">
        <v>0.8</v>
      </c>
      <c r="O671" s="3" t="str">
        <f aca="false">IF(AND(B671=4,M671=1),IF(N671&lt;0.8,"Subgrupo 7 dias; fronteira de cluster","Subgrupo 7 dias"),IF(N671&lt;0.8,"Fronteira de cluster",""))</f>
        <v/>
      </c>
    </row>
    <row r="672" customFormat="false" ht="15" hidden="false" customHeight="false" outlineLevel="0" collapsed="false">
      <c r="A672" s="14" t="n">
        <v>671</v>
      </c>
      <c r="B672" s="14" t="n">
        <v>1</v>
      </c>
      <c r="C672" s="14" t="s">
        <v>30</v>
      </c>
      <c r="D672" s="15" t="n">
        <v>5935.5</v>
      </c>
      <c r="E672" s="16" t="n">
        <f aca="false">INDEX(Parâmetros!$C$33:$C$37,MATCH(B672,Parâmetros!$A$33:$A$37,0))</f>
        <v>6959.92435130262</v>
      </c>
      <c r="F672" s="7" t="n">
        <f aca="false">MAX(0,(E672-D672)/D672)</f>
        <v>0.172592764097822</v>
      </c>
      <c r="G672" s="7" t="n">
        <f aca="false">MIN(K672*Parâmetros!$B$19,Parâmetros!$B$8)</f>
        <v>0.0770528985104648</v>
      </c>
      <c r="H672" s="3" t="str">
        <f aca="false">IF(F672&gt;=Parâmetros!$B$6,"Ação","Acompanhamento")</f>
        <v>Ação</v>
      </c>
      <c r="I672" s="17" t="n">
        <v>299.511873350924</v>
      </c>
      <c r="J672" s="11" t="n">
        <f aca="false">D672*I672</f>
        <v>1777752.72427441</v>
      </c>
      <c r="K672" s="7" t="n">
        <f aca="false">Parâmetros!$B$4+Parâmetros!$B$5*F672</f>
        <v>0.0631481910244554</v>
      </c>
      <c r="L672" s="11" t="n">
        <f aca="false">D672*(1+G672)</f>
        <v>6392.84747910886</v>
      </c>
      <c r="M672" s="14" t="n">
        <v>0</v>
      </c>
      <c r="N672" s="4" t="n">
        <v>0.986666666666667</v>
      </c>
      <c r="O672" s="3" t="str">
        <f aca="false">IF(AND(B672=4,M672=1),IF(N672&lt;0.8,"Subgrupo 7 dias; fronteira de cluster","Subgrupo 7 dias"),IF(N672&lt;0.8,"Fronteira de cluster",""))</f>
        <v/>
      </c>
    </row>
    <row r="673" customFormat="false" ht="15" hidden="false" customHeight="false" outlineLevel="0" collapsed="false">
      <c r="A673" s="14" t="n">
        <v>672</v>
      </c>
      <c r="B673" s="14" t="n">
        <v>4</v>
      </c>
      <c r="C673" s="14" t="s">
        <v>33</v>
      </c>
      <c r="D673" s="15" t="n">
        <v>8837.10512820513</v>
      </c>
      <c r="E673" s="16" t="n">
        <f aca="false">INDEX(Parâmetros!$C$33:$C$37,MATCH(B673,Parâmetros!$A$33:$A$37,0))</f>
        <v>8837.10512820513</v>
      </c>
      <c r="F673" s="7" t="n">
        <f aca="false">MAX(0,(E673-D673)/D673)</f>
        <v>0</v>
      </c>
      <c r="G673" s="7" t="n">
        <f aca="false">MIN(K673*Parâmetros!$B$19,Parâmetros!$B$8)</f>
        <v>0.0244038339849275</v>
      </c>
      <c r="H673" s="3" t="str">
        <f aca="false">IF(F673&gt;=Parâmetros!$B$6,"Ação","Acompanhamento")</f>
        <v>Acompanhamento</v>
      </c>
      <c r="I673" s="17" t="n">
        <v>302.229299363057</v>
      </c>
      <c r="J673" s="11" t="n">
        <f aca="false">D673*I673</f>
        <v>2670832.09129512</v>
      </c>
      <c r="K673" s="7" t="n">
        <f aca="false">Parâmetros!$B$4+Parâmetros!$B$5*F673</f>
        <v>0.02</v>
      </c>
      <c r="L673" s="11" t="n">
        <f aca="false">D673*(1+G673)</f>
        <v>9052.7643746612</v>
      </c>
      <c r="M673" s="14" t="n">
        <v>0</v>
      </c>
      <c r="N673" s="4" t="n">
        <v>0.674698795180723</v>
      </c>
      <c r="O673" s="3" t="str">
        <f aca="false">IF(AND(B673=4,M673=1),IF(N673&lt;0.8,"Subgrupo 7 dias; fronteira de cluster","Subgrupo 7 dias"),IF(N673&lt;0.8,"Fronteira de cluster",""))</f>
        <v>Fronteira de cluster</v>
      </c>
    </row>
    <row r="674" customFormat="false" ht="15" hidden="false" customHeight="false" outlineLevel="0" collapsed="false">
      <c r="A674" s="14" t="n">
        <v>673</v>
      </c>
      <c r="B674" s="14" t="n">
        <v>1</v>
      </c>
      <c r="C674" s="14" t="s">
        <v>30</v>
      </c>
      <c r="D674" s="15" t="n">
        <v>7126.01801801802</v>
      </c>
      <c r="E674" s="16" t="n">
        <f aca="false">INDEX(Parâmetros!$C$33:$C$37,MATCH(B674,Parâmetros!$A$33:$A$37,0))</f>
        <v>6959.92435130262</v>
      </c>
      <c r="F674" s="7" t="n">
        <f aca="false">MAX(0,(E674-D674)/D674)</f>
        <v>0</v>
      </c>
      <c r="G674" s="7" t="n">
        <f aca="false">MIN(K674*Parâmetros!$B$19,Parâmetros!$B$8)</f>
        <v>0.0244038339849275</v>
      </c>
      <c r="H674" s="3" t="str">
        <f aca="false">IF(F674&gt;=Parâmetros!$B$6,"Ação","Acompanhamento")</f>
        <v>Acompanhamento</v>
      </c>
      <c r="I674" s="17" t="n">
        <v>301.066878980892</v>
      </c>
      <c r="J674" s="11" t="n">
        <f aca="false">D674*I674</f>
        <v>2145408.00424628</v>
      </c>
      <c r="K674" s="7" t="n">
        <f aca="false">Parâmetros!$B$4+Parâmetros!$B$5*F674</f>
        <v>0.02</v>
      </c>
      <c r="L674" s="11" t="n">
        <f aca="false">D674*(1+G674)</f>
        <v>7299.92017870333</v>
      </c>
      <c r="M674" s="14" t="n">
        <v>0</v>
      </c>
      <c r="N674" s="4" t="n">
        <v>1</v>
      </c>
      <c r="O674" s="3" t="str">
        <f aca="false">IF(AND(B674=4,M674=1),IF(N674&lt;0.8,"Subgrupo 7 dias; fronteira de cluster","Subgrupo 7 dias"),IF(N674&lt;0.8,"Fronteira de cluster",""))</f>
        <v/>
      </c>
    </row>
    <row r="675" customFormat="false" ht="15" hidden="false" customHeight="false" outlineLevel="0" collapsed="false">
      <c r="A675" s="14" t="n">
        <v>674</v>
      </c>
      <c r="B675" s="14" t="n">
        <v>2</v>
      </c>
      <c r="C675" s="14" t="s">
        <v>31</v>
      </c>
      <c r="D675" s="15" t="n">
        <v>8204.34765100671</v>
      </c>
      <c r="E675" s="16" t="n">
        <f aca="false">INDEX(Parâmetros!$C$33:$C$37,MATCH(B675,Parâmetros!$A$33:$A$37,0))</f>
        <v>6324.80102695764</v>
      </c>
      <c r="F675" s="7" t="n">
        <f aca="false">MAX(0,(E675-D675)/D675)</f>
        <v>0</v>
      </c>
      <c r="G675" s="7" t="n">
        <f aca="false">MIN(K675*Parâmetros!$B$19,Parâmetros!$B$8)</f>
        <v>0.0244038339849275</v>
      </c>
      <c r="H675" s="3" t="str">
        <f aca="false">IF(F675&gt;=Parâmetros!$B$6,"Ação","Acompanhamento")</f>
        <v>Acompanhamento</v>
      </c>
      <c r="I675" s="17" t="n">
        <v>289.055201698514</v>
      </c>
      <c r="J675" s="11" t="n">
        <f aca="false">D675*I675</f>
        <v>2371509.36506647</v>
      </c>
      <c r="K675" s="7" t="n">
        <f aca="false">Parâmetros!$B$4+Parâmetros!$B$5*F675</f>
        <v>0.02</v>
      </c>
      <c r="L675" s="11" t="n">
        <f aca="false">D675*(1+G675)</f>
        <v>8404.56518903651</v>
      </c>
      <c r="M675" s="14" t="n">
        <v>0</v>
      </c>
      <c r="N675" s="4" t="n">
        <v>0.632911392405063</v>
      </c>
      <c r="O675" s="3" t="str">
        <f aca="false">IF(AND(B675=4,M675=1),IF(N675&lt;0.8,"Subgrupo 7 dias; fronteira de cluster","Subgrupo 7 dias"),IF(N675&lt;0.8,"Fronteira de cluster",""))</f>
        <v>Fronteira de cluster</v>
      </c>
    </row>
    <row r="676" customFormat="false" ht="15" hidden="false" customHeight="false" outlineLevel="0" collapsed="false">
      <c r="A676" s="14" t="n">
        <v>675</v>
      </c>
      <c r="B676" s="14" t="n">
        <v>3</v>
      </c>
      <c r="C676" s="14" t="s">
        <v>32</v>
      </c>
      <c r="D676" s="15" t="n">
        <v>4278.18950064021</v>
      </c>
      <c r="E676" s="16" t="n">
        <f aca="false">INDEX(Parâmetros!$C$33:$C$37,MATCH(B676,Parâmetros!$A$33:$A$37,0))</f>
        <v>5909.24487179487</v>
      </c>
      <c r="F676" s="7" t="n">
        <f aca="false">MAX(0,(E676-D676)/D676)</f>
        <v>0.381248977145727</v>
      </c>
      <c r="G676" s="7" t="n">
        <f aca="false">MIN(K676*Parâmetros!$B$19,Parâmetros!$B$8)</f>
        <v>0.140703043299774</v>
      </c>
      <c r="H676" s="3" t="str">
        <f aca="false">IF(F676&gt;=Parâmetros!$B$6,"Ação","Acompanhamento")</f>
        <v>Ação</v>
      </c>
      <c r="I676" s="17" t="n">
        <v>302.616772823779</v>
      </c>
      <c r="J676" s="11" t="n">
        <f aca="false">D676*I676</f>
        <v>1294651.90021231</v>
      </c>
      <c r="K676" s="7" t="n">
        <f aca="false">Parâmetros!$B$4+Parâmetros!$B$5*F676</f>
        <v>0.115312244286432</v>
      </c>
      <c r="L676" s="11" t="n">
        <f aca="false">D676*(1+G676)</f>
        <v>4880.14378319342</v>
      </c>
      <c r="M676" s="14" t="n">
        <v>0</v>
      </c>
      <c r="N676" s="4" t="n">
        <v>0.962962962962963</v>
      </c>
      <c r="O676" s="3" t="str">
        <f aca="false">IF(AND(B676=4,M676=1),IF(N676&lt;0.8,"Subgrupo 7 dias; fronteira de cluster","Subgrupo 7 dias"),IF(N676&lt;0.8,"Fronteira de cluster",""))</f>
        <v/>
      </c>
    </row>
    <row r="677" customFormat="false" ht="15" hidden="false" customHeight="false" outlineLevel="0" collapsed="false">
      <c r="A677" s="14" t="n">
        <v>676</v>
      </c>
      <c r="B677" s="14" t="n">
        <v>2</v>
      </c>
      <c r="C677" s="14" t="s">
        <v>31</v>
      </c>
      <c r="D677" s="15" t="n">
        <v>7687.46405228758</v>
      </c>
      <c r="E677" s="16" t="n">
        <f aca="false">INDEX(Parâmetros!$C$33:$C$37,MATCH(B677,Parâmetros!$A$33:$A$37,0))</f>
        <v>6324.80102695764</v>
      </c>
      <c r="F677" s="7" t="n">
        <f aca="false">MAX(0,(E677-D677)/D677)</f>
        <v>0</v>
      </c>
      <c r="G677" s="7" t="n">
        <f aca="false">MIN(K677*Parâmetros!$B$19,Parâmetros!$B$8)</f>
        <v>0.0244038339849275</v>
      </c>
      <c r="H677" s="3" t="str">
        <f aca="false">IF(F677&gt;=Parâmetros!$B$6,"Ação","Acompanhamento")</f>
        <v>Acompanhamento</v>
      </c>
      <c r="I677" s="17" t="n">
        <v>355.700636942675</v>
      </c>
      <c r="J677" s="11" t="n">
        <f aca="false">D677*I677</f>
        <v>2734435.85987261</v>
      </c>
      <c r="K677" s="7" t="n">
        <f aca="false">Parâmetros!$B$4+Parâmetros!$B$5*F677</f>
        <v>0.02</v>
      </c>
      <c r="L677" s="11" t="n">
        <f aca="false">D677*(1+G677)</f>
        <v>7875.06764878471</v>
      </c>
      <c r="M677" s="14" t="n">
        <v>1</v>
      </c>
      <c r="N677" s="4" t="n">
        <v>0.818181818181818</v>
      </c>
      <c r="O677" s="3" t="str">
        <f aca="false">IF(AND(B677=4,M677=1),IF(N677&lt;0.8,"Subgrupo 7 dias; fronteira de cluster","Subgrupo 7 dias"),IF(N677&lt;0.8,"Fronteira de cluster",""))</f>
        <v/>
      </c>
    </row>
    <row r="678" customFormat="false" ht="15" hidden="false" customHeight="false" outlineLevel="0" collapsed="false">
      <c r="A678" s="14" t="n">
        <v>677</v>
      </c>
      <c r="B678" s="14" t="n">
        <v>1</v>
      </c>
      <c r="C678" s="14" t="s">
        <v>30</v>
      </c>
      <c r="D678" s="15" t="n">
        <v>7938.98231511254</v>
      </c>
      <c r="E678" s="16" t="n">
        <f aca="false">INDEX(Parâmetros!$C$33:$C$37,MATCH(B678,Parâmetros!$A$33:$A$37,0))</f>
        <v>6959.92435130262</v>
      </c>
      <c r="F678" s="7" t="n">
        <f aca="false">MAX(0,(E678-D678)/D678)</f>
        <v>0</v>
      </c>
      <c r="G678" s="7" t="n">
        <f aca="false">MIN(K678*Parâmetros!$B$19,Parâmetros!$B$8)</f>
        <v>0.0244038339849275</v>
      </c>
      <c r="H678" s="3" t="str">
        <f aca="false">IF(F678&gt;=Parâmetros!$B$6,"Ação","Acompanhamento")</f>
        <v>Acompanhamento</v>
      </c>
      <c r="I678" s="17" t="n">
        <v>299.511873350924</v>
      </c>
      <c r="J678" s="11" t="n">
        <f aca="false">D678*I678</f>
        <v>2377819.46569921</v>
      </c>
      <c r="K678" s="7" t="n">
        <f aca="false">Parâmetros!$B$4+Parâmetros!$B$5*F678</f>
        <v>0.02</v>
      </c>
      <c r="L678" s="11" t="n">
        <f aca="false">D678*(1+G678)</f>
        <v>8132.72392153982</v>
      </c>
      <c r="M678" s="14" t="n">
        <v>0</v>
      </c>
      <c r="N678" s="4" t="n">
        <v>1</v>
      </c>
      <c r="O678" s="3" t="str">
        <f aca="false">IF(AND(B678=4,M678=1),IF(N678&lt;0.8,"Subgrupo 7 dias; fronteira de cluster","Subgrupo 7 dias"),IF(N678&lt;0.8,"Fronteira de cluster",""))</f>
        <v/>
      </c>
    </row>
    <row r="679" customFormat="false" ht="15" hidden="false" customHeight="false" outlineLevel="0" collapsed="false">
      <c r="A679" s="14" t="n">
        <v>678</v>
      </c>
      <c r="B679" s="14" t="n">
        <v>1</v>
      </c>
      <c r="C679" s="14" t="s">
        <v>30</v>
      </c>
      <c r="D679" s="15" t="n">
        <v>7299.93709884467</v>
      </c>
      <c r="E679" s="16" t="n">
        <f aca="false">INDEX(Parâmetros!$C$33:$C$37,MATCH(B679,Parâmetros!$A$33:$A$37,0))</f>
        <v>6959.92435130262</v>
      </c>
      <c r="F679" s="7" t="n">
        <f aca="false">MAX(0,(E679-D679)/D679)</f>
        <v>0</v>
      </c>
      <c r="G679" s="7" t="n">
        <f aca="false">MIN(K679*Parâmetros!$B$19,Parâmetros!$B$8)</f>
        <v>0.0244038339849275</v>
      </c>
      <c r="H679" s="3" t="str">
        <f aca="false">IF(F679&gt;=Parâmetros!$B$6,"Ação","Acompanhamento")</f>
        <v>Acompanhamento</v>
      </c>
      <c r="I679" s="17" t="n">
        <v>301.841825902336</v>
      </c>
      <c r="J679" s="11" t="n">
        <f aca="false">D679*I679</f>
        <v>2203426.34288747</v>
      </c>
      <c r="K679" s="7" t="n">
        <f aca="false">Parâmetros!$B$4+Parâmetros!$B$5*F679</f>
        <v>0.02</v>
      </c>
      <c r="L679" s="11" t="n">
        <f aca="false">D679*(1+G679)</f>
        <v>7478.08355190529</v>
      </c>
      <c r="M679" s="14" t="n">
        <v>0</v>
      </c>
      <c r="N679" s="4" t="n">
        <v>0.975609756097561</v>
      </c>
      <c r="O679" s="3" t="str">
        <f aca="false">IF(AND(B679=4,M679=1),IF(N679&lt;0.8,"Subgrupo 7 dias; fronteira de cluster","Subgrupo 7 dias"),IF(N679&lt;0.8,"Fronteira de cluster",""))</f>
        <v/>
      </c>
    </row>
    <row r="680" customFormat="false" ht="15" hidden="false" customHeight="false" outlineLevel="0" collapsed="false">
      <c r="A680" s="14" t="n">
        <v>679</v>
      </c>
      <c r="B680" s="14" t="n">
        <v>4</v>
      </c>
      <c r="C680" s="14" t="s">
        <v>33</v>
      </c>
      <c r="D680" s="15" t="n">
        <v>9943.92474489796</v>
      </c>
      <c r="E680" s="16" t="n">
        <f aca="false">INDEX(Parâmetros!$C$33:$C$37,MATCH(B680,Parâmetros!$A$33:$A$37,0))</f>
        <v>8837.10512820513</v>
      </c>
      <c r="F680" s="7" t="n">
        <f aca="false">MAX(0,(E680-D680)/D680)</f>
        <v>0</v>
      </c>
      <c r="G680" s="7" t="n">
        <f aca="false">MIN(K680*Parâmetros!$B$19,Parâmetros!$B$8)</f>
        <v>0.0244038339849275</v>
      </c>
      <c r="H680" s="3" t="str">
        <f aca="false">IF(F680&gt;=Parâmetros!$B$6,"Ação","Acompanhamento")</f>
        <v>Acompanhamento</v>
      </c>
      <c r="I680" s="17" t="n">
        <v>303.779193205945</v>
      </c>
      <c r="J680" s="11" t="n">
        <f aca="false">D680*I680</f>
        <v>3020757.43630573</v>
      </c>
      <c r="K680" s="7" t="n">
        <f aca="false">Parâmetros!$B$4+Parâmetros!$B$5*F680</f>
        <v>0.02</v>
      </c>
      <c r="L680" s="11" t="n">
        <f aca="false">D680*(1+G680)</f>
        <v>10186.5946335311</v>
      </c>
      <c r="M680" s="14" t="n">
        <v>0</v>
      </c>
      <c r="N680" s="4" t="n">
        <v>0.8875</v>
      </c>
      <c r="O680" s="3" t="str">
        <f aca="false">IF(AND(B680=4,M680=1),IF(N680&lt;0.8,"Subgrupo 7 dias; fronteira de cluster","Subgrupo 7 dias"),IF(N680&lt;0.8,"Fronteira de cluster",""))</f>
        <v/>
      </c>
    </row>
    <row r="681" customFormat="false" ht="15" hidden="false" customHeight="false" outlineLevel="0" collapsed="false">
      <c r="A681" s="14" t="n">
        <v>680</v>
      </c>
      <c r="B681" s="14" t="n">
        <v>2</v>
      </c>
      <c r="C681" s="14" t="s">
        <v>31</v>
      </c>
      <c r="D681" s="15" t="n">
        <v>5205.30612244898</v>
      </c>
      <c r="E681" s="16" t="n">
        <f aca="false">INDEX(Parâmetros!$C$33:$C$37,MATCH(B681,Parâmetros!$A$33:$A$37,0))</f>
        <v>6324.80102695764</v>
      </c>
      <c r="F681" s="7" t="n">
        <f aca="false">MAX(0,(E681-D681)/D681)</f>
        <v>0.215068024468456</v>
      </c>
      <c r="G681" s="7" t="n">
        <f aca="false">MIN(K681*Parâmetros!$B$19,Parâmetros!$B$8)</f>
        <v>0.0900098885423588</v>
      </c>
      <c r="H681" s="3" t="str">
        <f aca="false">IF(F681&gt;=Parâmetros!$B$6,"Ação","Acompanhamento")</f>
        <v>Ação</v>
      </c>
      <c r="I681" s="17" t="n">
        <v>303.779193205945</v>
      </c>
      <c r="J681" s="11" t="n">
        <f aca="false">D681*I681</f>
        <v>1581263.69426752</v>
      </c>
      <c r="K681" s="7" t="n">
        <f aca="false">Parâmetros!$B$4+Parâmetros!$B$5*F681</f>
        <v>0.0737670061171139</v>
      </c>
      <c r="L681" s="11" t="n">
        <f aca="false">D681*(1+G681)</f>
        <v>5673.83514635947</v>
      </c>
      <c r="M681" s="14" t="n">
        <v>0</v>
      </c>
      <c r="N681" s="4" t="n">
        <v>0.974025974025974</v>
      </c>
      <c r="O681" s="3" t="str">
        <f aca="false">IF(AND(B681=4,M681=1),IF(N681&lt;0.8,"Subgrupo 7 dias; fronteira de cluster","Subgrupo 7 dias"),IF(N681&lt;0.8,"Fronteira de cluster",""))</f>
        <v/>
      </c>
    </row>
    <row r="682" customFormat="false" ht="15" hidden="false" customHeight="false" outlineLevel="0" collapsed="false">
      <c r="A682" s="14" t="n">
        <v>681</v>
      </c>
      <c r="B682" s="14" t="n">
        <v>2</v>
      </c>
      <c r="C682" s="14" t="s">
        <v>31</v>
      </c>
      <c r="D682" s="15" t="n">
        <v>3566.15665796345</v>
      </c>
      <c r="E682" s="16" t="n">
        <f aca="false">INDEX(Parâmetros!$C$33:$C$37,MATCH(B682,Parâmetros!$A$33:$A$37,0))</f>
        <v>6324.80102695764</v>
      </c>
      <c r="F682" s="7" t="n">
        <f aca="false">MAX(0,(E682-D682)/D682)</f>
        <v>0.773562306309222</v>
      </c>
      <c r="G682" s="7" t="n">
        <f aca="false">MIN(K682*Parâmetros!$B$19,Parâmetros!$B$8)</f>
        <v>0.2</v>
      </c>
      <c r="H682" s="3" t="str">
        <f aca="false">IF(F682&gt;=Parâmetros!$B$6,"Ação","Acompanhamento")</f>
        <v>Ação</v>
      </c>
      <c r="I682" s="17" t="n">
        <v>297.192144373673</v>
      </c>
      <c r="J682" s="11" t="n">
        <f aca="false">D682*I682</f>
        <v>1059833.74435261</v>
      </c>
      <c r="K682" s="7" t="n">
        <f aca="false">Parâmetros!$B$4+Parâmetros!$B$5*F682</f>
        <v>0.213390576577306</v>
      </c>
      <c r="L682" s="11" t="n">
        <f aca="false">D682*(1+G682)</f>
        <v>4279.38798955614</v>
      </c>
      <c r="M682" s="14" t="n">
        <v>0</v>
      </c>
      <c r="N682" s="4" t="n">
        <v>0.987012987012987</v>
      </c>
      <c r="O682" s="3" t="str">
        <f aca="false">IF(AND(B682=4,M682=1),IF(N682&lt;0.8,"Subgrupo 7 dias; fronteira de cluster","Subgrupo 7 dias"),IF(N682&lt;0.8,"Fronteira de cluster",""))</f>
        <v/>
      </c>
    </row>
    <row r="683" customFormat="false" ht="15" hidden="false" customHeight="false" outlineLevel="0" collapsed="false">
      <c r="A683" s="14" t="n">
        <v>682</v>
      </c>
      <c r="B683" s="14" t="n">
        <v>4</v>
      </c>
      <c r="C683" s="14" t="s">
        <v>33</v>
      </c>
      <c r="D683" s="15" t="n">
        <v>11207.4087048832</v>
      </c>
      <c r="E683" s="16" t="n">
        <f aca="false">INDEX(Parâmetros!$C$33:$C$37,MATCH(B683,Parâmetros!$A$33:$A$37,0))</f>
        <v>8837.10512820513</v>
      </c>
      <c r="F683" s="7" t="n">
        <f aca="false">MAX(0,(E683-D683)/D683)</f>
        <v>0</v>
      </c>
      <c r="G683" s="7" t="n">
        <f aca="false">MIN(K683*Parâmetros!$B$19,Parâmetros!$B$8)</f>
        <v>0.0244038339849275</v>
      </c>
      <c r="H683" s="3" t="str">
        <f aca="false">IF(F683&gt;=Parâmetros!$B$6,"Ação","Acompanhamento")</f>
        <v>Acompanhamento</v>
      </c>
      <c r="I683" s="17" t="n">
        <v>365</v>
      </c>
      <c r="J683" s="11" t="n">
        <f aca="false">D683*I683</f>
        <v>4090704.17728238</v>
      </c>
      <c r="K683" s="7" t="n">
        <f aca="false">Parâmetros!$B$4+Parâmetros!$B$5*F683</f>
        <v>0.02</v>
      </c>
      <c r="L683" s="11" t="n">
        <f aca="false">D683*(1+G683)</f>
        <v>11480.9124463184</v>
      </c>
      <c r="M683" s="14" t="n">
        <v>1</v>
      </c>
      <c r="N683" s="4" t="n">
        <v>0.857142857142857</v>
      </c>
      <c r="O683" s="3" t="str">
        <f aca="false">IF(AND(B683=4,M683=1),IF(N683&lt;0.8,"Subgrupo 7 dias; fronteira de cluster","Subgrupo 7 dias"),IF(N683&lt;0.8,"Fronteira de cluster",""))</f>
        <v>Subgrupo 7 dias</v>
      </c>
    </row>
    <row r="684" customFormat="false" ht="15" hidden="false" customHeight="false" outlineLevel="0" collapsed="false">
      <c r="A684" s="14" t="n">
        <v>683</v>
      </c>
      <c r="B684" s="14" t="n">
        <v>1</v>
      </c>
      <c r="C684" s="14" t="s">
        <v>30</v>
      </c>
      <c r="D684" s="15" t="n">
        <v>9147.08545918367</v>
      </c>
      <c r="E684" s="16" t="n">
        <f aca="false">INDEX(Parâmetros!$C$33:$C$37,MATCH(B684,Parâmetros!$A$33:$A$37,0))</f>
        <v>6959.92435130262</v>
      </c>
      <c r="F684" s="7" t="n">
        <f aca="false">MAX(0,(E684-D684)/D684)</f>
        <v>0</v>
      </c>
      <c r="G684" s="7" t="n">
        <f aca="false">MIN(K684*Parâmetros!$B$19,Parâmetros!$B$8)</f>
        <v>0.0244038339849275</v>
      </c>
      <c r="H684" s="3" t="str">
        <f aca="false">IF(F684&gt;=Parâmetros!$B$6,"Ação","Acompanhamento")</f>
        <v>Acompanhamento</v>
      </c>
      <c r="I684" s="17" t="n">
        <v>303.779193205945</v>
      </c>
      <c r="J684" s="11" t="n">
        <f aca="false">D684*I684</f>
        <v>2778694.24097665</v>
      </c>
      <c r="K684" s="7" t="n">
        <f aca="false">Parâmetros!$B$4+Parâmetros!$B$5*F684</f>
        <v>0.02</v>
      </c>
      <c r="L684" s="11" t="n">
        <f aca="false">D684*(1+G684)</f>
        <v>9370.30941417554</v>
      </c>
      <c r="M684" s="14" t="n">
        <v>0</v>
      </c>
      <c r="N684" s="4" t="n">
        <v>1</v>
      </c>
      <c r="O684" s="3" t="str">
        <f aca="false">IF(AND(B684=4,M684=1),IF(N684&lt;0.8,"Subgrupo 7 dias; fronteira de cluster","Subgrupo 7 dias"),IF(N684&lt;0.8,"Fronteira de cluster",""))</f>
        <v/>
      </c>
    </row>
    <row r="685" customFormat="false" ht="15" hidden="false" customHeight="false" outlineLevel="0" collapsed="false">
      <c r="A685" s="14" t="n">
        <v>684</v>
      </c>
      <c r="B685" s="14" t="n">
        <v>1</v>
      </c>
      <c r="C685" s="14" t="s">
        <v>30</v>
      </c>
      <c r="D685" s="15" t="n">
        <v>7721.36655948553</v>
      </c>
      <c r="E685" s="16" t="n">
        <f aca="false">INDEX(Parâmetros!$C$33:$C$37,MATCH(B685,Parâmetros!$A$33:$A$37,0))</f>
        <v>6959.92435130262</v>
      </c>
      <c r="F685" s="7" t="n">
        <f aca="false">MAX(0,(E685-D685)/D685)</f>
        <v>0</v>
      </c>
      <c r="G685" s="7" t="n">
        <f aca="false">MIN(K685*Parâmetros!$B$19,Parâmetros!$B$8)</f>
        <v>0.0244038339849275</v>
      </c>
      <c r="H685" s="3" t="str">
        <f aca="false">IF(F685&gt;=Parâmetros!$B$6,"Ação","Acompanhamento")</f>
        <v>Acompanhamento</v>
      </c>
      <c r="I685" s="17" t="n">
        <v>299.511873350924</v>
      </c>
      <c r="J685" s="11" t="n">
        <f aca="false">D685*I685</f>
        <v>2312640.96306069</v>
      </c>
      <c r="K685" s="7" t="n">
        <f aca="false">Parâmetros!$B$4+Parâmetros!$B$5*F685</f>
        <v>0.02</v>
      </c>
      <c r="L685" s="11" t="n">
        <f aca="false">D685*(1+G685)</f>
        <v>7909.79750713999</v>
      </c>
      <c r="M685" s="14" t="n">
        <v>0</v>
      </c>
      <c r="N685" s="4" t="n">
        <v>1</v>
      </c>
      <c r="O685" s="3" t="str">
        <f aca="false">IF(AND(B685=4,M685=1),IF(N685&lt;0.8,"Subgrupo 7 dias; fronteira de cluster","Subgrupo 7 dias"),IF(N685&lt;0.8,"Fronteira de cluster",""))</f>
        <v/>
      </c>
    </row>
    <row r="686" customFormat="false" ht="15" hidden="false" customHeight="false" outlineLevel="0" collapsed="false">
      <c r="A686" s="14" t="n">
        <v>685</v>
      </c>
      <c r="B686" s="14" t="n">
        <v>3</v>
      </c>
      <c r="C686" s="14" t="s">
        <v>32</v>
      </c>
      <c r="D686" s="15" t="n">
        <v>6630.55070603338</v>
      </c>
      <c r="E686" s="16" t="n">
        <f aca="false">INDEX(Parâmetros!$C$33:$C$37,MATCH(B686,Parâmetros!$A$33:$A$37,0))</f>
        <v>5909.24487179487</v>
      </c>
      <c r="F686" s="7" t="n">
        <f aca="false">MAX(0,(E686-D686)/D686)</f>
        <v>0</v>
      </c>
      <c r="G686" s="7" t="n">
        <f aca="false">MIN(K686*Parâmetros!$B$19,Parâmetros!$B$8)</f>
        <v>0.0244038339849275</v>
      </c>
      <c r="H686" s="3" t="str">
        <f aca="false">IF(F686&gt;=Parâmetros!$B$6,"Ação","Acompanhamento")</f>
        <v>Acompanhamento</v>
      </c>
      <c r="I686" s="17" t="n">
        <v>301.841825902336</v>
      </c>
      <c r="J686" s="11" t="n">
        <f aca="false">D686*I686</f>
        <v>2001377.53184713</v>
      </c>
      <c r="K686" s="7" t="n">
        <f aca="false">Parâmetros!$B$4+Parâmetros!$B$5*F686</f>
        <v>0.02</v>
      </c>
      <c r="L686" s="11" t="n">
        <f aca="false">D686*(1+G686)</f>
        <v>6792.36156469206</v>
      </c>
      <c r="M686" s="14" t="n">
        <v>0</v>
      </c>
      <c r="N686" s="4" t="n">
        <v>0.939759036144579</v>
      </c>
      <c r="O686" s="3" t="str">
        <f aca="false">IF(AND(B686=4,M686=1),IF(N686&lt;0.8,"Subgrupo 7 dias; fronteira de cluster","Subgrupo 7 dias"),IF(N686&lt;0.8,"Fronteira de cluster",""))</f>
        <v/>
      </c>
    </row>
    <row r="687" customFormat="false" ht="15" hidden="false" customHeight="false" outlineLevel="0" collapsed="false">
      <c r="A687" s="14" t="n">
        <v>686</v>
      </c>
      <c r="B687" s="14" t="n">
        <v>3</v>
      </c>
      <c r="C687" s="14" t="s">
        <v>32</v>
      </c>
      <c r="D687" s="15" t="n">
        <v>6250.41025641026</v>
      </c>
      <c r="E687" s="16" t="n">
        <f aca="false">INDEX(Parâmetros!$C$33:$C$37,MATCH(B687,Parâmetros!$A$33:$A$37,0))</f>
        <v>5909.24487179487</v>
      </c>
      <c r="F687" s="7" t="n">
        <f aca="false">MAX(0,(E687-D687)/D687)</f>
        <v>0</v>
      </c>
      <c r="G687" s="7" t="n">
        <f aca="false">MIN(K687*Parâmetros!$B$19,Parâmetros!$B$8)</f>
        <v>0.0244038339849275</v>
      </c>
      <c r="H687" s="3" t="str">
        <f aca="false">IF(F687&gt;=Parâmetros!$B$6,"Ação","Acompanhamento")</f>
        <v>Acompanhamento</v>
      </c>
      <c r="I687" s="17" t="n">
        <v>302.229299363057</v>
      </c>
      <c r="J687" s="11" t="n">
        <f aca="false">D687*I687</f>
        <v>1889057.11252654</v>
      </c>
      <c r="K687" s="7" t="n">
        <f aca="false">Parâmetros!$B$4+Parâmetros!$B$5*F687</f>
        <v>0.02</v>
      </c>
      <c r="L687" s="11" t="n">
        <f aca="false">D687*(1+G687)</f>
        <v>6402.94423064538</v>
      </c>
      <c r="M687" s="14" t="n">
        <v>0</v>
      </c>
      <c r="N687" s="4" t="n">
        <v>1</v>
      </c>
      <c r="O687" s="3" t="str">
        <f aca="false">IF(AND(B687=4,M687=1),IF(N687&lt;0.8,"Subgrupo 7 dias; fronteira de cluster","Subgrupo 7 dias"),IF(N687&lt;0.8,"Fronteira de cluster",""))</f>
        <v/>
      </c>
    </row>
    <row r="688" customFormat="false" ht="15" hidden="false" customHeight="false" outlineLevel="0" collapsed="false">
      <c r="A688" s="14" t="n">
        <v>687</v>
      </c>
      <c r="B688" s="14" t="n">
        <v>1</v>
      </c>
      <c r="C688" s="14" t="s">
        <v>30</v>
      </c>
      <c r="D688" s="15" t="n">
        <v>8372.46469833119</v>
      </c>
      <c r="E688" s="16" t="n">
        <f aca="false">INDEX(Parâmetros!$C$33:$C$37,MATCH(B688,Parâmetros!$A$33:$A$37,0))</f>
        <v>6959.92435130262</v>
      </c>
      <c r="F688" s="7" t="n">
        <f aca="false">MAX(0,(E688-D688)/D688)</f>
        <v>0</v>
      </c>
      <c r="G688" s="7" t="n">
        <f aca="false">MIN(K688*Parâmetros!$B$19,Parâmetros!$B$8)</f>
        <v>0.0244038339849275</v>
      </c>
      <c r="H688" s="3" t="str">
        <f aca="false">IF(F688&gt;=Parâmetros!$B$6,"Ação","Acompanhamento")</f>
        <v>Acompanhamento</v>
      </c>
      <c r="I688" s="17" t="n">
        <v>301.841825902336</v>
      </c>
      <c r="J688" s="11" t="n">
        <f aca="false">D688*I688</f>
        <v>2527160.03184713</v>
      </c>
      <c r="K688" s="7" t="n">
        <f aca="false">Parâmetros!$B$4+Parâmetros!$B$5*F688</f>
        <v>0.02</v>
      </c>
      <c r="L688" s="11" t="n">
        <f aca="false">D688*(1+G688)</f>
        <v>8576.78493687394</v>
      </c>
      <c r="M688" s="14" t="n">
        <v>0</v>
      </c>
      <c r="N688" s="4" t="n">
        <v>1</v>
      </c>
      <c r="O688" s="3" t="str">
        <f aca="false">IF(AND(B688=4,M688=1),IF(N688&lt;0.8,"Subgrupo 7 dias; fronteira de cluster","Subgrupo 7 dias"),IF(N688&lt;0.8,"Fronteira de cluster",""))</f>
        <v/>
      </c>
    </row>
    <row r="689" customFormat="false" ht="15" hidden="false" customHeight="false" outlineLevel="0" collapsed="false">
      <c r="A689" s="14" t="n">
        <v>688</v>
      </c>
      <c r="B689" s="14" t="n">
        <v>3</v>
      </c>
      <c r="C689" s="14" t="s">
        <v>32</v>
      </c>
      <c r="D689" s="15" t="n">
        <v>3615.83333333333</v>
      </c>
      <c r="E689" s="16" t="n">
        <f aca="false">INDEX(Parâmetros!$C$33:$C$37,MATCH(B689,Parâmetros!$A$33:$A$37,0))</f>
        <v>5909.24487179487</v>
      </c>
      <c r="F689" s="7" t="n">
        <f aca="false">MAX(0,(E689-D689)/D689)</f>
        <v>0.634269150991898</v>
      </c>
      <c r="G689" s="7" t="n">
        <f aca="false">MIN(K689*Parâmetros!$B$19,Parâmetros!$B$8)</f>
        <v>0.2</v>
      </c>
      <c r="H689" s="3" t="str">
        <f aca="false">IF(F689&gt;=Parâmetros!$B$6,"Ação","Acompanhamento")</f>
        <v>Ação</v>
      </c>
      <c r="I689" s="17" t="n">
        <v>302.229299363057</v>
      </c>
      <c r="J689" s="11" t="n">
        <f aca="false">D689*I689</f>
        <v>1092810.77494692</v>
      </c>
      <c r="K689" s="7" t="n">
        <f aca="false">Parâmetros!$B$4+Parâmetros!$B$5*F689</f>
        <v>0.178567287747975</v>
      </c>
      <c r="L689" s="11" t="n">
        <f aca="false">D689*(1+G689)</f>
        <v>4339</v>
      </c>
      <c r="M689" s="14" t="n">
        <v>0</v>
      </c>
      <c r="N689" s="4" t="n">
        <v>1</v>
      </c>
      <c r="O689" s="3" t="str">
        <f aca="false">IF(AND(B689=4,M689=1),IF(N689&lt;0.8,"Subgrupo 7 dias; fronteira de cluster","Subgrupo 7 dias"),IF(N689&lt;0.8,"Fronteira de cluster",""))</f>
        <v/>
      </c>
    </row>
    <row r="690" customFormat="false" ht="15" hidden="false" customHeight="false" outlineLevel="0" collapsed="false">
      <c r="A690" s="14" t="n">
        <v>689</v>
      </c>
      <c r="B690" s="14" t="n">
        <v>1</v>
      </c>
      <c r="C690" s="14" t="s">
        <v>30</v>
      </c>
      <c r="D690" s="15" t="n">
        <v>7046.11267605634</v>
      </c>
      <c r="E690" s="16" t="n">
        <f aca="false">INDEX(Parâmetros!$C$33:$C$37,MATCH(B690,Parâmetros!$A$33:$A$37,0))</f>
        <v>6959.92435130262</v>
      </c>
      <c r="F690" s="7" t="n">
        <f aca="false">MAX(0,(E690-D690)/D690)</f>
        <v>0</v>
      </c>
      <c r="G690" s="7" t="n">
        <f aca="false">MIN(K690*Parâmetros!$B$19,Parâmetros!$B$8)</f>
        <v>0.0244038339849275</v>
      </c>
      <c r="H690" s="3" t="str">
        <f aca="false">IF(F690&gt;=Parâmetros!$B$6,"Ação","Acompanhamento")</f>
        <v>Acompanhamento</v>
      </c>
      <c r="I690" s="17" t="n">
        <v>302.616772823779</v>
      </c>
      <c r="J690" s="11" t="n">
        <f aca="false">D690*I690</f>
        <v>2132271.87898089</v>
      </c>
      <c r="K690" s="7" t="n">
        <f aca="false">Parâmetros!$B$4+Parâmetros!$B$5*F690</f>
        <v>0.02</v>
      </c>
      <c r="L690" s="11" t="n">
        <f aca="false">D690*(1+G690)</f>
        <v>7218.06484004191</v>
      </c>
      <c r="M690" s="14" t="n">
        <v>0</v>
      </c>
      <c r="N690" s="4" t="n">
        <v>1</v>
      </c>
      <c r="O690" s="3" t="str">
        <f aca="false">IF(AND(B690=4,M690=1),IF(N690&lt;0.8,"Subgrupo 7 dias; fronteira de cluster","Subgrupo 7 dias"),IF(N690&lt;0.8,"Fronteira de cluster",""))</f>
        <v/>
      </c>
    </row>
    <row r="691" customFormat="false" ht="15" hidden="false" customHeight="false" outlineLevel="0" collapsed="false">
      <c r="A691" s="14" t="n">
        <v>690</v>
      </c>
      <c r="B691" s="14" t="n">
        <v>0</v>
      </c>
      <c r="C691" s="14" t="s">
        <v>29</v>
      </c>
      <c r="D691" s="15" t="n">
        <v>5589.98716302953</v>
      </c>
      <c r="E691" s="16" t="n">
        <f aca="false">INDEX(Parâmetros!$C$33:$C$37,MATCH(B691,Parâmetros!$A$33:$A$37,0))</f>
        <v>5476.37033462034</v>
      </c>
      <c r="F691" s="7" t="n">
        <f aca="false">MAX(0,(E691-D691)/D691)</f>
        <v>0</v>
      </c>
      <c r="G691" s="7" t="n">
        <f aca="false">MIN(K691*Parâmetros!$B$19,Parâmetros!$B$8)</f>
        <v>0.0244038339849275</v>
      </c>
      <c r="H691" s="3" t="str">
        <f aca="false">IF(F691&gt;=Parâmetros!$B$6,"Ação","Acompanhamento")</f>
        <v>Acompanhamento</v>
      </c>
      <c r="I691" s="17" t="n">
        <v>301.841825902336</v>
      </c>
      <c r="J691" s="11" t="n">
        <f aca="false">D691*I691</f>
        <v>1687291.93205945</v>
      </c>
      <c r="K691" s="7" t="n">
        <f aca="false">Parâmetros!$B$4+Parâmetros!$B$5*F691</f>
        <v>0.02</v>
      </c>
      <c r="L691" s="11" t="n">
        <f aca="false">D691*(1+G691)</f>
        <v>5726.40428173397</v>
      </c>
      <c r="M691" s="14" t="n">
        <v>0</v>
      </c>
      <c r="N691" s="4" t="n">
        <v>0.945652173913044</v>
      </c>
      <c r="O691" s="3" t="str">
        <f aca="false">IF(AND(B691=4,M691=1),IF(N691&lt;0.8,"Subgrupo 7 dias; fronteira de cluster","Subgrupo 7 dias"),IF(N691&lt;0.8,"Fronteira de cluster",""))</f>
        <v/>
      </c>
    </row>
    <row r="692" customFormat="false" ht="15" hidden="false" customHeight="false" outlineLevel="0" collapsed="false">
      <c r="A692" s="14" t="n">
        <v>691</v>
      </c>
      <c r="B692" s="14" t="n">
        <v>1</v>
      </c>
      <c r="C692" s="14" t="s">
        <v>30</v>
      </c>
      <c r="D692" s="15" t="n">
        <v>8371.01155327343</v>
      </c>
      <c r="E692" s="16" t="n">
        <f aca="false">INDEX(Parâmetros!$C$33:$C$37,MATCH(B692,Parâmetros!$A$33:$A$37,0))</f>
        <v>6959.92435130262</v>
      </c>
      <c r="F692" s="7" t="n">
        <f aca="false">MAX(0,(E692-D692)/D692)</f>
        <v>0</v>
      </c>
      <c r="G692" s="7" t="n">
        <f aca="false">MIN(K692*Parâmetros!$B$19,Parâmetros!$B$8)</f>
        <v>0.0244038339849275</v>
      </c>
      <c r="H692" s="3" t="str">
        <f aca="false">IF(F692&gt;=Parâmetros!$B$6,"Ação","Acompanhamento")</f>
        <v>Acompanhamento</v>
      </c>
      <c r="I692" s="17" t="n">
        <v>301.841825902336</v>
      </c>
      <c r="J692" s="11" t="n">
        <f aca="false">D692*I692</f>
        <v>2526721.4118896</v>
      </c>
      <c r="K692" s="7" t="n">
        <f aca="false">Parâmetros!$B$4+Parâmetros!$B$5*F692</f>
        <v>0.02</v>
      </c>
      <c r="L692" s="11" t="n">
        <f aca="false">D692*(1+G692)</f>
        <v>8575.29632950542</v>
      </c>
      <c r="M692" s="14" t="n">
        <v>0</v>
      </c>
      <c r="N692" s="4" t="n">
        <v>1</v>
      </c>
      <c r="O692" s="3" t="str">
        <f aca="false">IF(AND(B692=4,M692=1),IF(N692&lt;0.8,"Subgrupo 7 dias; fronteira de cluster","Subgrupo 7 dias"),IF(N692&lt;0.8,"Fronteira de cluster",""))</f>
        <v/>
      </c>
    </row>
    <row r="693" customFormat="false" ht="15" hidden="false" customHeight="false" outlineLevel="0" collapsed="false">
      <c r="A693" s="14" t="n">
        <v>692</v>
      </c>
      <c r="B693" s="14" t="n">
        <v>0</v>
      </c>
      <c r="C693" s="14" t="s">
        <v>29</v>
      </c>
      <c r="D693" s="15" t="n">
        <v>6588.41720154044</v>
      </c>
      <c r="E693" s="16" t="n">
        <f aca="false">INDEX(Parâmetros!$C$33:$C$37,MATCH(B693,Parâmetros!$A$33:$A$37,0))</f>
        <v>5476.37033462034</v>
      </c>
      <c r="F693" s="7" t="n">
        <f aca="false">MAX(0,(E693-D693)/D693)</f>
        <v>0</v>
      </c>
      <c r="G693" s="7" t="n">
        <f aca="false">MIN(K693*Parâmetros!$B$19,Parâmetros!$B$8)</f>
        <v>0.0244038339849275</v>
      </c>
      <c r="H693" s="3" t="str">
        <f aca="false">IF(F693&gt;=Parâmetros!$B$6,"Ação","Acompanhamento")</f>
        <v>Acompanhamento</v>
      </c>
      <c r="I693" s="17" t="n">
        <v>301.841825902336</v>
      </c>
      <c r="J693" s="11" t="n">
        <f aca="false">D693*I693</f>
        <v>1988659.87791932</v>
      </c>
      <c r="K693" s="7" t="n">
        <f aca="false">Parâmetros!$B$4+Parâmetros!$B$5*F693</f>
        <v>0.02</v>
      </c>
      <c r="L693" s="11" t="n">
        <f aca="false">D693*(1+G693)</f>
        <v>6749.19984115027</v>
      </c>
      <c r="M693" s="14" t="n">
        <v>0</v>
      </c>
      <c r="N693" s="4" t="n">
        <v>0.987654320987654</v>
      </c>
      <c r="O693" s="3" t="str">
        <f aca="false">IF(AND(B693=4,M693=1),IF(N693&lt;0.8,"Subgrupo 7 dias; fronteira de cluster","Subgrupo 7 dias"),IF(N693&lt;0.8,"Fronteira de cluster",""))</f>
        <v/>
      </c>
    </row>
    <row r="694" customFormat="false" ht="15" hidden="false" customHeight="false" outlineLevel="0" collapsed="false">
      <c r="A694" s="14" t="n">
        <v>693</v>
      </c>
      <c r="B694" s="14" t="n">
        <v>3</v>
      </c>
      <c r="C694" s="14" t="s">
        <v>32</v>
      </c>
      <c r="D694" s="15" t="n">
        <v>6607.93854033291</v>
      </c>
      <c r="E694" s="16" t="n">
        <f aca="false">INDEX(Parâmetros!$C$33:$C$37,MATCH(B694,Parâmetros!$A$33:$A$37,0))</f>
        <v>5909.24487179487</v>
      </c>
      <c r="F694" s="7" t="n">
        <f aca="false">MAX(0,(E694-D694)/D694)</f>
        <v>0</v>
      </c>
      <c r="G694" s="7" t="n">
        <f aca="false">MIN(K694*Parâmetros!$B$19,Parâmetros!$B$8)</f>
        <v>0.0244038339849275</v>
      </c>
      <c r="H694" s="3" t="str">
        <f aca="false">IF(F694&gt;=Parâmetros!$B$6,"Ação","Acompanhamento")</f>
        <v>Acompanhamento</v>
      </c>
      <c r="I694" s="17" t="n">
        <v>302.616772823779</v>
      </c>
      <c r="J694" s="11" t="n">
        <f aca="false">D694*I694</f>
        <v>1999673.03609342</v>
      </c>
      <c r="K694" s="7" t="n">
        <f aca="false">Parâmetros!$B$4+Parâmetros!$B$5*F694</f>
        <v>0.02</v>
      </c>
      <c r="L694" s="11" t="n">
        <f aca="false">D694*(1+G694)</f>
        <v>6769.19757545379</v>
      </c>
      <c r="M694" s="14" t="n">
        <v>0</v>
      </c>
      <c r="N694" s="4" t="n">
        <v>1</v>
      </c>
      <c r="O694" s="3" t="str">
        <f aca="false">IF(AND(B694=4,M694=1),IF(N694&lt;0.8,"Subgrupo 7 dias; fronteira de cluster","Subgrupo 7 dias"),IF(N694&lt;0.8,"Fronteira de cluster",""))</f>
        <v/>
      </c>
    </row>
    <row r="695" customFormat="false" ht="15" hidden="false" customHeight="false" outlineLevel="0" collapsed="false">
      <c r="A695" s="14" t="n">
        <v>694</v>
      </c>
      <c r="B695" s="14" t="n">
        <v>4</v>
      </c>
      <c r="C695" s="14" t="s">
        <v>33</v>
      </c>
      <c r="D695" s="15" t="n">
        <v>8047.52250803859</v>
      </c>
      <c r="E695" s="16" t="n">
        <f aca="false">INDEX(Parâmetros!$C$33:$C$37,MATCH(B695,Parâmetros!$A$33:$A$37,0))</f>
        <v>8837.10512820513</v>
      </c>
      <c r="F695" s="7" t="n">
        <f aca="false">MAX(0,(E695-D695)/D695)</f>
        <v>0.0981149936987237</v>
      </c>
      <c r="G695" s="7" t="n">
        <f aca="false">MIN(K695*Parâmetros!$B$19,Parâmetros!$B$8)</f>
        <v>0.0543336092056257</v>
      </c>
      <c r="H695" s="3" t="str">
        <f aca="false">IF(F695&gt;=Parâmetros!$B$6,"Ação","Acompanhamento")</f>
        <v>Acompanhamento</v>
      </c>
      <c r="I695" s="17" t="n">
        <v>299.511873350924</v>
      </c>
      <c r="J695" s="11" t="n">
        <f aca="false">D695*I695</f>
        <v>2410328.54221636</v>
      </c>
      <c r="K695" s="7" t="n">
        <f aca="false">Parâmetros!$B$4+Parâmetros!$B$5*F695</f>
        <v>0.0445287484246809</v>
      </c>
      <c r="L695" s="11" t="n">
        <f aca="false">D695*(1+G695)</f>
        <v>8484.77345106383</v>
      </c>
      <c r="M695" s="14" t="n">
        <v>0</v>
      </c>
      <c r="N695" s="4" t="n">
        <v>1</v>
      </c>
      <c r="O695" s="3" t="str">
        <f aca="false">IF(AND(B695=4,M695=1),IF(N695&lt;0.8,"Subgrupo 7 dias; fronteira de cluster","Subgrupo 7 dias"),IF(N695&lt;0.8,"Fronteira de cluster",""))</f>
        <v/>
      </c>
    </row>
    <row r="696" customFormat="false" ht="15" hidden="false" customHeight="false" outlineLevel="0" collapsed="false">
      <c r="A696" s="14" t="n">
        <v>695</v>
      </c>
      <c r="B696" s="14" t="n">
        <v>3</v>
      </c>
      <c r="C696" s="14" t="s">
        <v>32</v>
      </c>
      <c r="D696" s="15" t="n">
        <v>5393.12323491656</v>
      </c>
      <c r="E696" s="16" t="n">
        <f aca="false">INDEX(Parâmetros!$C$33:$C$37,MATCH(B696,Parâmetros!$A$33:$A$37,0))</f>
        <v>5909.24487179487</v>
      </c>
      <c r="F696" s="7" t="n">
        <f aca="false">MAX(0,(E696-D696)/D696)</f>
        <v>0.0956999524017548</v>
      </c>
      <c r="G696" s="7" t="n">
        <f aca="false">MIN(K696*Parâmetros!$B$19,Parâmetros!$B$8)</f>
        <v>0.053596905869651</v>
      </c>
      <c r="H696" s="3" t="str">
        <f aca="false">IF(F696&gt;=Parâmetros!$B$6,"Ação","Acompanhamento")</f>
        <v>Acompanhamento</v>
      </c>
      <c r="I696" s="17" t="n">
        <v>301.841825902336</v>
      </c>
      <c r="J696" s="11" t="n">
        <f aca="false">D696*I696</f>
        <v>1627870.16454352</v>
      </c>
      <c r="K696" s="7" t="n">
        <f aca="false">Parâmetros!$B$4+Parâmetros!$B$5*F696</f>
        <v>0.0439249881004387</v>
      </c>
      <c r="L696" s="11" t="n">
        <f aca="false">D696*(1+G696)</f>
        <v>5682.17795328181</v>
      </c>
      <c r="M696" s="14" t="n">
        <v>0</v>
      </c>
      <c r="N696" s="4" t="n">
        <v>1</v>
      </c>
      <c r="O696" s="3" t="str">
        <f aca="false">IF(AND(B696=4,M696=1),IF(N696&lt;0.8,"Subgrupo 7 dias; fronteira de cluster","Subgrupo 7 dias"),IF(N696&lt;0.8,"Fronteira de cluster",""))</f>
        <v/>
      </c>
    </row>
    <row r="697" customFormat="false" ht="15" hidden="false" customHeight="false" outlineLevel="0" collapsed="false">
      <c r="A697" s="14" t="n">
        <v>696</v>
      </c>
      <c r="B697" s="14" t="n">
        <v>0</v>
      </c>
      <c r="C697" s="14" t="s">
        <v>29</v>
      </c>
      <c r="D697" s="15" t="n">
        <v>7850.13903061225</v>
      </c>
      <c r="E697" s="16" t="n">
        <f aca="false">INDEX(Parâmetros!$C$33:$C$37,MATCH(B697,Parâmetros!$A$33:$A$37,0))</f>
        <v>5476.37033462034</v>
      </c>
      <c r="F697" s="7" t="n">
        <f aca="false">MAX(0,(E697-D697)/D697)</f>
        <v>0</v>
      </c>
      <c r="G697" s="7" t="n">
        <f aca="false">MIN(K697*Parâmetros!$B$19,Parâmetros!$B$8)</f>
        <v>0.0244038339849275</v>
      </c>
      <c r="H697" s="3" t="str">
        <f aca="false">IF(F697&gt;=Parâmetros!$B$6,"Ação","Acompanhamento")</f>
        <v>Acompanhamento</v>
      </c>
      <c r="I697" s="17" t="n">
        <v>303.779193205945</v>
      </c>
      <c r="J697" s="11" t="n">
        <f aca="false">D697*I697</f>
        <v>2384708.90127389</v>
      </c>
      <c r="K697" s="7" t="n">
        <f aca="false">Parâmetros!$B$4+Parâmetros!$B$5*F697</f>
        <v>0.02</v>
      </c>
      <c r="L697" s="11" t="n">
        <f aca="false">D697*(1+G697)</f>
        <v>8041.71252027391</v>
      </c>
      <c r="M697" s="14" t="n">
        <v>0</v>
      </c>
      <c r="N697" s="4" t="n">
        <v>0.52</v>
      </c>
      <c r="O697" s="3" t="str">
        <f aca="false">IF(AND(B697=4,M697=1),IF(N697&lt;0.8,"Subgrupo 7 dias; fronteira de cluster","Subgrupo 7 dias"),IF(N697&lt;0.8,"Fronteira de cluster",""))</f>
        <v>Fronteira de cluster</v>
      </c>
    </row>
    <row r="698" customFormat="false" ht="15" hidden="false" customHeight="false" outlineLevel="0" collapsed="false">
      <c r="A698" s="14" t="n">
        <v>697</v>
      </c>
      <c r="B698" s="14" t="n">
        <v>1</v>
      </c>
      <c r="C698" s="14" t="s">
        <v>30</v>
      </c>
      <c r="D698" s="15" t="n">
        <v>10656.1732991014</v>
      </c>
      <c r="E698" s="16" t="n">
        <f aca="false">INDEX(Parâmetros!$C$33:$C$37,MATCH(B698,Parâmetros!$A$33:$A$37,0))</f>
        <v>6959.92435130262</v>
      </c>
      <c r="F698" s="7" t="n">
        <f aca="false">MAX(0,(E698-D698)/D698)</f>
        <v>0</v>
      </c>
      <c r="G698" s="7" t="n">
        <f aca="false">MIN(K698*Parâmetros!$B$19,Parâmetros!$B$8)</f>
        <v>0.0244038339849275</v>
      </c>
      <c r="H698" s="3" t="str">
        <f aca="false">IF(F698&gt;=Parâmetros!$B$6,"Ação","Acompanhamento")</f>
        <v>Acompanhamento</v>
      </c>
      <c r="I698" s="17" t="n">
        <v>301.841825902336</v>
      </c>
      <c r="J698" s="11" t="n">
        <f aca="false">D698*I698</f>
        <v>3216478.80573248</v>
      </c>
      <c r="K698" s="7" t="n">
        <f aca="false">Parâmetros!$B$4+Parâmetros!$B$5*F698</f>
        <v>0.02</v>
      </c>
      <c r="L698" s="11" t="n">
        <f aca="false">D698*(1+G698)</f>
        <v>10916.2247832073</v>
      </c>
      <c r="M698" s="14" t="n">
        <v>0</v>
      </c>
      <c r="N698" s="4" t="n">
        <v>1</v>
      </c>
      <c r="O698" s="3" t="str">
        <f aca="false">IF(AND(B698=4,M698=1),IF(N698&lt;0.8,"Subgrupo 7 dias; fronteira de cluster","Subgrupo 7 dias"),IF(N698&lt;0.8,"Fronteira de cluster",""))</f>
        <v/>
      </c>
    </row>
    <row r="699" customFormat="false" ht="15" hidden="false" customHeight="false" outlineLevel="0" collapsed="false">
      <c r="A699" s="14" t="n">
        <v>698</v>
      </c>
      <c r="B699" s="14" t="n">
        <v>4</v>
      </c>
      <c r="C699" s="14" t="s">
        <v>33</v>
      </c>
      <c r="D699" s="15" t="n">
        <v>15564.1198979592</v>
      </c>
      <c r="E699" s="16" t="n">
        <f aca="false">INDEX(Parâmetros!$C$33:$C$37,MATCH(B699,Parâmetros!$A$33:$A$37,0))</f>
        <v>8837.10512820513</v>
      </c>
      <c r="F699" s="7" t="n">
        <f aca="false">MAX(0,(E699-D699)/D699)</f>
        <v>0</v>
      </c>
      <c r="G699" s="7" t="n">
        <f aca="false">MIN(K699*Parâmetros!$B$19,Parâmetros!$B$8)</f>
        <v>0.0244038339849275</v>
      </c>
      <c r="H699" s="3" t="str">
        <f aca="false">IF(F699&gt;=Parâmetros!$B$6,"Ação","Acompanhamento")</f>
        <v>Acompanhamento</v>
      </c>
      <c r="I699" s="17" t="n">
        <v>303.779193205945</v>
      </c>
      <c r="J699" s="11" t="n">
        <f aca="false">D699*I699</f>
        <v>4728055.78556263</v>
      </c>
      <c r="K699" s="7" t="n">
        <f aca="false">Parâmetros!$B$4+Parâmetros!$B$5*F699</f>
        <v>0.02</v>
      </c>
      <c r="L699" s="11" t="n">
        <f aca="false">D699*(1+G699)</f>
        <v>15943.9440960705</v>
      </c>
      <c r="M699" s="14" t="n">
        <v>0</v>
      </c>
      <c r="N699" s="4" t="n">
        <v>1</v>
      </c>
      <c r="O699" s="3" t="str">
        <f aca="false">IF(AND(B699=4,M699=1),IF(N699&lt;0.8,"Subgrupo 7 dias; fronteira de cluster","Subgrupo 7 dias"),IF(N699&lt;0.8,"Fronteira de cluster",""))</f>
        <v/>
      </c>
    </row>
    <row r="700" customFormat="false" ht="15" hidden="false" customHeight="false" outlineLevel="0" collapsed="false">
      <c r="A700" s="14" t="n">
        <v>699</v>
      </c>
      <c r="B700" s="14" t="n">
        <v>4</v>
      </c>
      <c r="C700" s="14" t="s">
        <v>33</v>
      </c>
      <c r="D700" s="15" t="n">
        <v>8331.00522875817</v>
      </c>
      <c r="E700" s="16" t="n">
        <f aca="false">INDEX(Parâmetros!$C$33:$C$37,MATCH(B700,Parâmetros!$A$33:$A$37,0))</f>
        <v>8837.10512820513</v>
      </c>
      <c r="F700" s="7" t="n">
        <f aca="false">MAX(0,(E700-D700)/D700)</f>
        <v>0.060748959525308</v>
      </c>
      <c r="G700" s="7" t="n">
        <f aca="false">MIN(K700*Parâmetros!$B$19,Parâmetros!$B$8)</f>
        <v>0.0429351780225861</v>
      </c>
      <c r="H700" s="3" t="str">
        <f aca="false">IF(F700&gt;=Parâmetros!$B$6,"Ação","Acompanhamento")</f>
        <v>Acompanhamento</v>
      </c>
      <c r="I700" s="17" t="n">
        <v>296.804670912951</v>
      </c>
      <c r="J700" s="11" t="n">
        <f aca="false">D700*I700</f>
        <v>2472681.26529564</v>
      </c>
      <c r="K700" s="7" t="n">
        <f aca="false">Parâmetros!$B$4+Parâmetros!$B$5*F700</f>
        <v>0.035187239881327</v>
      </c>
      <c r="L700" s="11" t="n">
        <f aca="false">D700*(1+G700)</f>
        <v>8688.698421362</v>
      </c>
      <c r="M700" s="14" t="n">
        <v>0</v>
      </c>
      <c r="N700" s="4" t="n">
        <v>0.962025316455696</v>
      </c>
      <c r="O700" s="3" t="str">
        <f aca="false">IF(AND(B700=4,M700=1),IF(N700&lt;0.8,"Subgrupo 7 dias; fronteira de cluster","Subgrupo 7 dias"),IF(N700&lt;0.8,"Fronteira de cluster",""))</f>
        <v/>
      </c>
    </row>
    <row r="701" customFormat="false" ht="15" hidden="false" customHeight="false" outlineLevel="0" collapsed="false">
      <c r="A701" s="14" t="n">
        <v>700</v>
      </c>
      <c r="B701" s="14" t="n">
        <v>2</v>
      </c>
      <c r="C701" s="14" t="s">
        <v>31</v>
      </c>
      <c r="D701" s="15" t="n">
        <v>4362.24470899471</v>
      </c>
      <c r="E701" s="16" t="n">
        <f aca="false">INDEX(Parâmetros!$C$33:$C$37,MATCH(B701,Parâmetros!$A$33:$A$37,0))</f>
        <v>6324.80102695764</v>
      </c>
      <c r="F701" s="7" t="n">
        <f aca="false">MAX(0,(E701-D701)/D701)</f>
        <v>0.449895970740992</v>
      </c>
      <c r="G701" s="7" t="n">
        <f aca="false">MIN(K701*Parâmetros!$B$19,Parâmetros!$B$8)</f>
        <v>0.161643666240564</v>
      </c>
      <c r="H701" s="3" t="str">
        <f aca="false">IF(F701&gt;=Parâmetros!$B$6,"Ação","Acompanhamento")</f>
        <v>Ação</v>
      </c>
      <c r="I701" s="17" t="n">
        <v>293.317409766454</v>
      </c>
      <c r="J701" s="11" t="n">
        <f aca="false">D701*I701</f>
        <v>1279522.31880975</v>
      </c>
      <c r="K701" s="7" t="n">
        <f aca="false">Parâmetros!$B$4+Parâmetros!$B$5*F701</f>
        <v>0.132473992685248</v>
      </c>
      <c r="L701" s="11" t="n">
        <f aca="false">D701*(1+G701)</f>
        <v>5067.37393679512</v>
      </c>
      <c r="M701" s="14" t="n">
        <v>0</v>
      </c>
      <c r="N701" s="4" t="n">
        <v>0.962025316455696</v>
      </c>
      <c r="O701" s="3" t="str">
        <f aca="false">IF(AND(B701=4,M701=1),IF(N701&lt;0.8,"Subgrupo 7 dias; fronteira de cluster","Subgrupo 7 dias"),IF(N701&lt;0.8,"Fronteira de cluster",""))</f>
        <v/>
      </c>
    </row>
    <row r="702" customFormat="false" ht="15" hidden="false" customHeight="false" outlineLevel="0" collapsed="false">
      <c r="A702" s="14" t="n">
        <v>701</v>
      </c>
      <c r="B702" s="14" t="n">
        <v>0</v>
      </c>
      <c r="C702" s="14" t="s">
        <v>29</v>
      </c>
      <c r="D702" s="15" t="n">
        <v>5778.97427652733</v>
      </c>
      <c r="E702" s="16" t="n">
        <f aca="false">INDEX(Parâmetros!$C$33:$C$37,MATCH(B702,Parâmetros!$A$33:$A$37,0))</f>
        <v>5476.37033462034</v>
      </c>
      <c r="F702" s="7" t="n">
        <f aca="false">MAX(0,(E702-D702)/D702)</f>
        <v>0</v>
      </c>
      <c r="G702" s="7" t="n">
        <f aca="false">MIN(K702*Parâmetros!$B$19,Parâmetros!$B$8)</f>
        <v>0.0244038339849275</v>
      </c>
      <c r="H702" s="3" t="str">
        <f aca="false">IF(F702&gt;=Parâmetros!$B$6,"Ação","Acompanhamento")</f>
        <v>Acompanhamento</v>
      </c>
      <c r="I702" s="17" t="n">
        <v>299.511873350924</v>
      </c>
      <c r="J702" s="11" t="n">
        <f aca="false">D702*I702</f>
        <v>1730871.4116095</v>
      </c>
      <c r="K702" s="7" t="n">
        <f aca="false">Parâmetros!$B$4+Parâmetros!$B$5*F702</f>
        <v>0.02</v>
      </c>
      <c r="L702" s="11" t="n">
        <f aca="false">D702*(1+G702)</f>
        <v>5920.00340537487</v>
      </c>
      <c r="M702" s="14" t="n">
        <v>0</v>
      </c>
      <c r="N702" s="4" t="n">
        <v>0.988505747126437</v>
      </c>
      <c r="O702" s="3" t="str">
        <f aca="false">IF(AND(B702=4,M702=1),IF(N702&lt;0.8,"Subgrupo 7 dias; fronteira de cluster","Subgrupo 7 dias"),IF(N702&lt;0.8,"Fronteira de cluster",""))</f>
        <v/>
      </c>
    </row>
    <row r="703" customFormat="false" ht="15" hidden="false" customHeight="false" outlineLevel="0" collapsed="false">
      <c r="A703" s="14" t="n">
        <v>702</v>
      </c>
      <c r="B703" s="14" t="n">
        <v>1</v>
      </c>
      <c r="C703" s="14" t="s">
        <v>30</v>
      </c>
      <c r="D703" s="15" t="n">
        <v>4373.97106109325</v>
      </c>
      <c r="E703" s="16" t="n">
        <f aca="false">INDEX(Parâmetros!$C$33:$C$37,MATCH(B703,Parâmetros!$A$33:$A$37,0))</f>
        <v>6959.92435130262</v>
      </c>
      <c r="F703" s="7" t="n">
        <f aca="false">MAX(0,(E703-D703)/D703)</f>
        <v>0.591214083058663</v>
      </c>
      <c r="G703" s="7" t="n">
        <f aca="false">MIN(K703*Parâmetros!$B$19,Parâmetros!$B$8)</f>
        <v>0.2</v>
      </c>
      <c r="H703" s="3" t="str">
        <f aca="false">IF(F703&gt;=Parâmetros!$B$6,"Ação","Acompanhamento")</f>
        <v>Ação</v>
      </c>
      <c r="I703" s="17" t="n">
        <v>299.511873350924</v>
      </c>
      <c r="J703" s="11" t="n">
        <f aca="false">D703*I703</f>
        <v>1310056.26649077</v>
      </c>
      <c r="K703" s="7" t="n">
        <f aca="false">Parâmetros!$B$4+Parâmetros!$B$5*F703</f>
        <v>0.167803520764666</v>
      </c>
      <c r="L703" s="11" t="n">
        <f aca="false">D703*(1+G703)</f>
        <v>5248.7652733119</v>
      </c>
      <c r="M703" s="14" t="n">
        <v>0</v>
      </c>
      <c r="N703" s="4" t="n">
        <v>1</v>
      </c>
      <c r="O703" s="3" t="str">
        <f aca="false">IF(AND(B703=4,M703=1),IF(N703&lt;0.8,"Subgrupo 7 dias; fronteira de cluster","Subgrupo 7 dias"),IF(N703&lt;0.8,"Fronteira de cluster",""))</f>
        <v/>
      </c>
    </row>
    <row r="704" customFormat="false" ht="15" hidden="false" customHeight="false" outlineLevel="0" collapsed="false">
      <c r="A704" s="14" t="n">
        <v>703</v>
      </c>
      <c r="B704" s="14" t="n">
        <v>0</v>
      </c>
      <c r="C704" s="14" t="s">
        <v>29</v>
      </c>
      <c r="D704" s="15" t="n">
        <v>3290.53401797176</v>
      </c>
      <c r="E704" s="16" t="n">
        <f aca="false">INDEX(Parâmetros!$C$33:$C$37,MATCH(B704,Parâmetros!$A$33:$A$37,0))</f>
        <v>5476.37033462034</v>
      </c>
      <c r="F704" s="7" t="n">
        <f aca="false">MAX(0,(E704-D704)/D704)</f>
        <v>0.664280115236704</v>
      </c>
      <c r="G704" s="7" t="n">
        <f aca="false">MIN(K704*Parâmetros!$B$19,Parâmetros!$B$8)</f>
        <v>0.2</v>
      </c>
      <c r="H704" s="3" t="str">
        <f aca="false">IF(F704&gt;=Parâmetros!$B$6,"Ação","Acompanhamento")</f>
        <v>Ação</v>
      </c>
      <c r="I704" s="17" t="n">
        <v>301.841825902336</v>
      </c>
      <c r="J704" s="11" t="n">
        <f aca="false">D704*I704</f>
        <v>993220.796178344</v>
      </c>
      <c r="K704" s="7" t="n">
        <f aca="false">Parâmetros!$B$4+Parâmetros!$B$5*F704</f>
        <v>0.186070028809176</v>
      </c>
      <c r="L704" s="11" t="n">
        <f aca="false">D704*(1+G704)</f>
        <v>3948.64082156611</v>
      </c>
      <c r="M704" s="14" t="n">
        <v>0</v>
      </c>
      <c r="N704" s="4" t="n">
        <v>1</v>
      </c>
      <c r="O704" s="3" t="str">
        <f aca="false">IF(AND(B704=4,M704=1),IF(N704&lt;0.8,"Subgrupo 7 dias; fronteira de cluster","Subgrupo 7 dias"),IF(N704&lt;0.8,"Fronteira de cluster",""))</f>
        <v/>
      </c>
    </row>
    <row r="705" customFormat="false" ht="15" hidden="false" customHeight="false" outlineLevel="0" collapsed="false">
      <c r="A705" s="14" t="n">
        <v>704</v>
      </c>
      <c r="B705" s="14" t="n">
        <v>4</v>
      </c>
      <c r="C705" s="14" t="s">
        <v>33</v>
      </c>
      <c r="D705" s="15" t="n">
        <v>10393.8659003831</v>
      </c>
      <c r="E705" s="16" t="n">
        <f aca="false">INDEX(Parâmetros!$C$33:$C$37,MATCH(B705,Parâmetros!$A$33:$A$37,0))</f>
        <v>8837.10512820513</v>
      </c>
      <c r="F705" s="7" t="n">
        <f aca="false">MAX(0,(E705-D705)/D705)</f>
        <v>0</v>
      </c>
      <c r="G705" s="7" t="n">
        <f aca="false">MIN(K705*Parâmetros!$B$19,Parâmetros!$B$8)</f>
        <v>0.0244038339849275</v>
      </c>
      <c r="H705" s="3" t="str">
        <f aca="false">IF(F705&gt;=Parâmetros!$B$6,"Ação","Acompanhamento")</f>
        <v>Acompanhamento</v>
      </c>
      <c r="I705" s="17" t="n">
        <v>303.391719745223</v>
      </c>
      <c r="J705" s="11" t="n">
        <f aca="false">D705*I705</f>
        <v>3153412.85031847</v>
      </c>
      <c r="K705" s="7" t="n">
        <f aca="false">Parâmetros!$B$4+Parâmetros!$B$5*F705</f>
        <v>0.02</v>
      </c>
      <c r="L705" s="11" t="n">
        <f aca="false">D705*(1+G705)</f>
        <v>10647.5160782777</v>
      </c>
      <c r="M705" s="14" t="n">
        <v>0</v>
      </c>
      <c r="N705" s="4" t="n">
        <v>0.974683544303797</v>
      </c>
      <c r="O705" s="3" t="str">
        <f aca="false">IF(AND(B705=4,M705=1),IF(N705&lt;0.8,"Subgrupo 7 dias; fronteira de cluster","Subgrupo 7 dias"),IF(N705&lt;0.8,"Fronteira de cluster",""))</f>
        <v/>
      </c>
    </row>
    <row r="706" customFormat="false" ht="15" hidden="false" customHeight="false" outlineLevel="0" collapsed="false">
      <c r="A706" s="14" t="n">
        <v>705</v>
      </c>
      <c r="B706" s="14" t="n">
        <v>3</v>
      </c>
      <c r="C706" s="14" t="s">
        <v>32</v>
      </c>
      <c r="D706" s="15" t="n">
        <v>7967.26700898588</v>
      </c>
      <c r="E706" s="16" t="n">
        <f aca="false">INDEX(Parâmetros!$C$33:$C$37,MATCH(B706,Parâmetros!$A$33:$A$37,0))</f>
        <v>5909.24487179487</v>
      </c>
      <c r="F706" s="7" t="n">
        <f aca="false">MAX(0,(E706-D706)/D706)</f>
        <v>0</v>
      </c>
      <c r="G706" s="7" t="n">
        <f aca="false">MIN(K706*Parâmetros!$B$19,Parâmetros!$B$8)</f>
        <v>0.0244038339849275</v>
      </c>
      <c r="H706" s="3" t="str">
        <f aca="false">IF(F706&gt;=Parâmetros!$B$6,"Ação","Acompanhamento")</f>
        <v>Acompanhamento</v>
      </c>
      <c r="I706" s="17" t="n">
        <v>301.841825902336</v>
      </c>
      <c r="J706" s="11" t="n">
        <f aca="false">D706*I706</f>
        <v>2404854.42144374</v>
      </c>
      <c r="K706" s="7" t="n">
        <f aca="false">Parâmetros!$B$4+Parâmetros!$B$5*F706</f>
        <v>0.02</v>
      </c>
      <c r="L706" s="11" t="n">
        <f aca="false">D706*(1+G706)</f>
        <v>8161.69887038676</v>
      </c>
      <c r="M706" s="14" t="n">
        <v>0</v>
      </c>
      <c r="N706" s="4" t="n">
        <v>0.710843373493976</v>
      </c>
      <c r="O706" s="3" t="str">
        <f aca="false">IF(AND(B706=4,M706=1),IF(N706&lt;0.8,"Subgrupo 7 dias; fronteira de cluster","Subgrupo 7 dias"),IF(N706&lt;0.8,"Fronteira de cluster",""))</f>
        <v>Fronteira de cluster</v>
      </c>
    </row>
    <row r="707" customFormat="false" ht="15" hidden="false" customHeight="false" outlineLevel="0" collapsed="false">
      <c r="A707" s="14" t="n">
        <v>706</v>
      </c>
      <c r="B707" s="14" t="n">
        <v>1</v>
      </c>
      <c r="C707" s="14" t="s">
        <v>30</v>
      </c>
      <c r="D707" s="15" t="n">
        <v>5743.2652733119</v>
      </c>
      <c r="E707" s="16" t="n">
        <f aca="false">INDEX(Parâmetros!$C$33:$C$37,MATCH(B707,Parâmetros!$A$33:$A$37,0))</f>
        <v>6959.92435130262</v>
      </c>
      <c r="F707" s="7" t="n">
        <f aca="false">MAX(0,(E707-D707)/D707)</f>
        <v>0.211841003347757</v>
      </c>
      <c r="G707" s="7" t="n">
        <f aca="false">MIN(K707*Parâmetros!$B$19,Parâmetros!$B$8)</f>
        <v>0.0890254924461665</v>
      </c>
      <c r="H707" s="3" t="str">
        <f aca="false">IF(F707&gt;=Parâmetros!$B$6,"Ação","Acompanhamento")</f>
        <v>Ação</v>
      </c>
      <c r="I707" s="17" t="n">
        <v>299.511873350924</v>
      </c>
      <c r="J707" s="11" t="n">
        <f aca="false">D707*I707</f>
        <v>1720176.14116095</v>
      </c>
      <c r="K707" s="7" t="n">
        <f aca="false">Parâmetros!$B$4+Parâmetros!$B$5*F707</f>
        <v>0.0729602508369393</v>
      </c>
      <c r="L707" s="11" t="n">
        <f aca="false">D707*(1+G707)</f>
        <v>6254.56229251746</v>
      </c>
      <c r="M707" s="14" t="n">
        <v>0</v>
      </c>
      <c r="N707" s="4" t="n">
        <v>1</v>
      </c>
      <c r="O707" s="3" t="str">
        <f aca="false">IF(AND(B707=4,M707=1),IF(N707&lt;0.8,"Subgrupo 7 dias; fronteira de cluster","Subgrupo 7 dias"),IF(N707&lt;0.8,"Fronteira de cluster",""))</f>
        <v/>
      </c>
    </row>
    <row r="708" customFormat="false" ht="15" hidden="false" customHeight="false" outlineLevel="0" collapsed="false">
      <c r="A708" s="14" t="n">
        <v>707</v>
      </c>
      <c r="B708" s="14" t="n">
        <v>0</v>
      </c>
      <c r="C708" s="14" t="s">
        <v>29</v>
      </c>
      <c r="D708" s="15" t="n">
        <v>8319.73170731707</v>
      </c>
      <c r="E708" s="16" t="n">
        <f aca="false">INDEX(Parâmetros!$C$33:$C$37,MATCH(B708,Parâmetros!$A$33:$A$37,0))</f>
        <v>5476.37033462034</v>
      </c>
      <c r="F708" s="7" t="n">
        <f aca="false">MAX(0,(E708-D708)/D708)</f>
        <v>0</v>
      </c>
      <c r="G708" s="7" t="n">
        <f aca="false">MIN(K708*Parâmetros!$B$19,Parâmetros!$B$8)</f>
        <v>0.0244038339849275</v>
      </c>
      <c r="H708" s="3" t="str">
        <f aca="false">IF(F708&gt;=Parâmetros!$B$6,"Ação","Acompanhamento")</f>
        <v>Acompanhamento</v>
      </c>
      <c r="I708" s="17" t="n">
        <v>301.841825902336</v>
      </c>
      <c r="J708" s="11" t="n">
        <f aca="false">D708*I708</f>
        <v>2511243.00955414</v>
      </c>
      <c r="K708" s="7" t="n">
        <f aca="false">Parâmetros!$B$4+Parâmetros!$B$5*F708</f>
        <v>0.02</v>
      </c>
      <c r="L708" s="11" t="n">
        <f aca="false">D708*(1+G708)</f>
        <v>8522.76505870158</v>
      </c>
      <c r="M708" s="14" t="n">
        <v>0</v>
      </c>
      <c r="N708" s="4" t="n">
        <v>0.728395061728395</v>
      </c>
      <c r="O708" s="3" t="str">
        <f aca="false">IF(AND(B708=4,M708=1),IF(N708&lt;0.8,"Subgrupo 7 dias; fronteira de cluster","Subgrupo 7 dias"),IF(N708&lt;0.8,"Fronteira de cluster",""))</f>
        <v>Fronteira de cluster</v>
      </c>
    </row>
    <row r="709" customFormat="false" ht="15" hidden="false" customHeight="false" outlineLevel="0" collapsed="false">
      <c r="A709" s="14" t="n">
        <v>708</v>
      </c>
      <c r="B709" s="14" t="n">
        <v>2</v>
      </c>
      <c r="C709" s="14" t="s">
        <v>31</v>
      </c>
      <c r="D709" s="15" t="n">
        <v>4578.64483260553</v>
      </c>
      <c r="E709" s="16" t="n">
        <f aca="false">INDEX(Parâmetros!$C$33:$C$37,MATCH(B709,Parâmetros!$A$33:$A$37,0))</f>
        <v>6324.80102695764</v>
      </c>
      <c r="F709" s="7" t="n">
        <f aca="false">MAX(0,(E709-D709)/D709)</f>
        <v>0.381369653727528</v>
      </c>
      <c r="G709" s="7" t="n">
        <f aca="false">MIN(K709*Parâmetros!$B$19,Parâmetros!$B$8)</f>
        <v>0.140739855440626</v>
      </c>
      <c r="H709" s="3" t="str">
        <f aca="false">IF(F709&gt;=Parâmetros!$B$6,"Ação","Acompanhamento")</f>
        <v>Ação</v>
      </c>
      <c r="I709" s="17" t="n">
        <v>266.581740976645</v>
      </c>
      <c r="J709" s="11" t="n">
        <f aca="false">D709*I709</f>
        <v>1220583.1107897</v>
      </c>
      <c r="K709" s="7" t="n">
        <f aca="false">Parâmetros!$B$4+Parâmetros!$B$5*F709</f>
        <v>0.115342413431882</v>
      </c>
      <c r="L709" s="11" t="n">
        <f aca="false">D709*(1+G709)</f>
        <v>5223.0426444604</v>
      </c>
      <c r="M709" s="14" t="n">
        <v>0</v>
      </c>
      <c r="N709" s="4" t="n">
        <v>0.946666666666667</v>
      </c>
      <c r="O709" s="3" t="str">
        <f aca="false">IF(AND(B709=4,M709=1),IF(N709&lt;0.8,"Subgrupo 7 dias; fronteira de cluster","Subgrupo 7 dias"),IF(N709&lt;0.8,"Fronteira de cluster",""))</f>
        <v/>
      </c>
    </row>
    <row r="710" customFormat="false" ht="15" hidden="false" customHeight="false" outlineLevel="0" collapsed="false">
      <c r="A710" s="14" t="n">
        <v>709</v>
      </c>
      <c r="B710" s="14" t="n">
        <v>0</v>
      </c>
      <c r="C710" s="14" t="s">
        <v>29</v>
      </c>
      <c r="D710" s="15" t="n">
        <v>9886.91581632653</v>
      </c>
      <c r="E710" s="16" t="n">
        <f aca="false">INDEX(Parâmetros!$C$33:$C$37,MATCH(B710,Parâmetros!$A$33:$A$37,0))</f>
        <v>5476.37033462034</v>
      </c>
      <c r="F710" s="7" t="n">
        <f aca="false">MAX(0,(E710-D710)/D710)</f>
        <v>0</v>
      </c>
      <c r="G710" s="7" t="n">
        <f aca="false">MIN(K710*Parâmetros!$B$19,Parâmetros!$B$8)</f>
        <v>0.0244038339849275</v>
      </c>
      <c r="H710" s="3" t="str">
        <f aca="false">IF(F710&gt;=Parâmetros!$B$6,"Ação","Acompanhamento")</f>
        <v>Acompanhamento</v>
      </c>
      <c r="I710" s="17" t="n">
        <v>303.779193205945</v>
      </c>
      <c r="J710" s="11" t="n">
        <f aca="false">D710*I710</f>
        <v>3003439.30997877</v>
      </c>
      <c r="K710" s="7" t="n">
        <f aca="false">Parâmetros!$B$4+Parâmetros!$B$5*F710</f>
        <v>0.02</v>
      </c>
      <c r="L710" s="11" t="n">
        <f aca="false">D710*(1+G710)</f>
        <v>10128.1944685311</v>
      </c>
      <c r="M710" s="14" t="n">
        <v>0</v>
      </c>
      <c r="N710" s="4" t="n">
        <v>0.987341772151899</v>
      </c>
      <c r="O710" s="3" t="str">
        <f aca="false">IF(AND(B710=4,M710=1),IF(N710&lt;0.8,"Subgrupo 7 dias; fronteira de cluster","Subgrupo 7 dias"),IF(N710&lt;0.8,"Fronteira de cluster",""))</f>
        <v/>
      </c>
    </row>
    <row r="711" customFormat="false" ht="15" hidden="false" customHeight="false" outlineLevel="0" collapsed="false">
      <c r="A711" s="14" t="n">
        <v>710</v>
      </c>
      <c r="B711" s="14" t="n">
        <v>1</v>
      </c>
      <c r="C711" s="14" t="s">
        <v>30</v>
      </c>
      <c r="D711" s="15" t="n">
        <v>4546.65273311897</v>
      </c>
      <c r="E711" s="16" t="n">
        <f aca="false">INDEX(Parâmetros!$C$33:$C$37,MATCH(B711,Parâmetros!$A$33:$A$37,0))</f>
        <v>6959.92435130262</v>
      </c>
      <c r="F711" s="7" t="n">
        <f aca="false">MAX(0,(E711-D711)/D711)</f>
        <v>0.530779841751442</v>
      </c>
      <c r="G711" s="7" t="n">
        <f aca="false">MIN(K711*Parâmetros!$B$19,Parâmetros!$B$8)</f>
        <v>0.186317123243031</v>
      </c>
      <c r="H711" s="3" t="str">
        <f aca="false">IF(F711&gt;=Parâmetros!$B$6,"Ação","Acompanhamento")</f>
        <v>Ação</v>
      </c>
      <c r="I711" s="17" t="n">
        <v>299.511873350924</v>
      </c>
      <c r="J711" s="11" t="n">
        <f aca="false">D711*I711</f>
        <v>1361776.47757256</v>
      </c>
      <c r="K711" s="7" t="n">
        <f aca="false">Parâmetros!$B$4+Parâmetros!$B$5*F711</f>
        <v>0.152694960437861</v>
      </c>
      <c r="L711" s="11" t="n">
        <f aca="false">D711*(1+G711)</f>
        <v>5393.77199073876</v>
      </c>
      <c r="M711" s="14" t="n">
        <v>0</v>
      </c>
      <c r="N711" s="4" t="n">
        <v>1</v>
      </c>
      <c r="O711" s="3" t="str">
        <f aca="false">IF(AND(B711=4,M711=1),IF(N711&lt;0.8,"Subgrupo 7 dias; fronteira de cluster","Subgrupo 7 dias"),IF(N711&lt;0.8,"Fronteira de cluster",""))</f>
        <v/>
      </c>
    </row>
    <row r="712" customFormat="false" ht="15" hidden="false" customHeight="false" outlineLevel="0" collapsed="false">
      <c r="A712" s="14" t="n">
        <v>711</v>
      </c>
      <c r="B712" s="14" t="n">
        <v>1</v>
      </c>
      <c r="C712" s="14" t="s">
        <v>30</v>
      </c>
      <c r="D712" s="15" t="n">
        <v>6914.39165329053</v>
      </c>
      <c r="E712" s="16" t="n">
        <f aca="false">INDEX(Parâmetros!$C$33:$C$37,MATCH(B712,Parâmetros!$A$33:$A$37,0))</f>
        <v>6959.92435130262</v>
      </c>
      <c r="F712" s="7" t="n">
        <f aca="false">MAX(0,(E712-D712)/D712)</f>
        <v>0.00658520666679662</v>
      </c>
      <c r="G712" s="7" t="n">
        <f aca="false">MIN(K712*Parâmetros!$B$19,Parâmetros!$B$8)</f>
        <v>0.0264126376130892</v>
      </c>
      <c r="H712" s="3" t="str">
        <f aca="false">IF(F712&gt;=Parâmetros!$B$6,"Ação","Acompanhamento")</f>
        <v>Acompanhamento</v>
      </c>
      <c r="I712" s="17" t="n">
        <v>299.993403693931</v>
      </c>
      <c r="J712" s="11" t="n">
        <f aca="false">D712*I712</f>
        <v>2074271.88654354</v>
      </c>
      <c r="K712" s="7" t="n">
        <f aca="false">Parâmetros!$B$4+Parâmetros!$B$5*F712</f>
        <v>0.0216463016666992</v>
      </c>
      <c r="L712" s="11" t="n">
        <f aca="false">D712*(1+G712)</f>
        <v>7097.01897434386</v>
      </c>
      <c r="M712" s="14" t="n">
        <v>0</v>
      </c>
      <c r="N712" s="4" t="n">
        <v>1</v>
      </c>
      <c r="O712" s="3" t="str">
        <f aca="false">IF(AND(B712=4,M712=1),IF(N712&lt;0.8,"Subgrupo 7 dias; fronteira de cluster","Subgrupo 7 dias"),IF(N712&lt;0.8,"Fronteira de cluster",""))</f>
        <v/>
      </c>
    </row>
    <row r="713" customFormat="false" ht="15" hidden="false" customHeight="false" outlineLevel="0" collapsed="false">
      <c r="A713" s="14" t="n">
        <v>712</v>
      </c>
      <c r="B713" s="14" t="n">
        <v>1</v>
      </c>
      <c r="C713" s="14" t="s">
        <v>30</v>
      </c>
      <c r="D713" s="15" t="n">
        <v>6421.4421221865</v>
      </c>
      <c r="E713" s="16" t="n">
        <f aca="false">INDEX(Parâmetros!$C$33:$C$37,MATCH(B713,Parâmetros!$A$33:$A$37,0))</f>
        <v>6959.92435130262</v>
      </c>
      <c r="F713" s="7" t="n">
        <f aca="false">MAX(0,(E713-D713)/D713)</f>
        <v>0.0838568998785546</v>
      </c>
      <c r="G713" s="7" t="n">
        <f aca="false">MIN(K713*Parâmetros!$B$19,Parâmetros!$B$8)</f>
        <v>0.0499842072740141</v>
      </c>
      <c r="H713" s="3" t="str">
        <f aca="false">IF(F713&gt;=Parâmetros!$B$6,"Ação","Acompanhamento")</f>
        <v>Acompanhamento</v>
      </c>
      <c r="I713" s="17" t="n">
        <v>299.511873350924</v>
      </c>
      <c r="J713" s="11" t="n">
        <f aca="false">D713*I713</f>
        <v>1923298.15963061</v>
      </c>
      <c r="K713" s="7" t="n">
        <f aca="false">Parâmetros!$B$4+Parâmetros!$B$5*F713</f>
        <v>0.0409642249696387</v>
      </c>
      <c r="L713" s="11" t="n">
        <f aca="false">D713*(1+G713)</f>
        <v>6742.41281621995</v>
      </c>
      <c r="M713" s="14" t="n">
        <v>0</v>
      </c>
      <c r="N713" s="4" t="n">
        <v>1</v>
      </c>
      <c r="O713" s="3" t="str">
        <f aca="false">IF(AND(B713=4,M713=1),IF(N713&lt;0.8,"Subgrupo 7 dias; fronteira de cluster","Subgrupo 7 dias"),IF(N713&lt;0.8,"Fronteira de cluster",""))</f>
        <v/>
      </c>
    </row>
    <row r="714" customFormat="false" ht="15" hidden="false" customHeight="false" outlineLevel="0" collapsed="false">
      <c r="A714" s="14" t="n">
        <v>713</v>
      </c>
      <c r="B714" s="14" t="n">
        <v>4</v>
      </c>
      <c r="C714" s="14" t="s">
        <v>33</v>
      </c>
      <c r="D714" s="15" t="n">
        <v>10718.055198973</v>
      </c>
      <c r="E714" s="16" t="n">
        <f aca="false">INDEX(Parâmetros!$C$33:$C$37,MATCH(B714,Parâmetros!$A$33:$A$37,0))</f>
        <v>8837.10512820513</v>
      </c>
      <c r="F714" s="7" t="n">
        <f aca="false">MAX(0,(E714-D714)/D714)</f>
        <v>0</v>
      </c>
      <c r="G714" s="7" t="n">
        <f aca="false">MIN(K714*Parâmetros!$B$19,Parâmetros!$B$8)</f>
        <v>0.0244038339849275</v>
      </c>
      <c r="H714" s="3" t="str">
        <f aca="false">IF(F714&gt;=Parâmetros!$B$6,"Ação","Acompanhamento")</f>
        <v>Acompanhamento</v>
      </c>
      <c r="I714" s="17" t="n">
        <v>301.841825902336</v>
      </c>
      <c r="J714" s="11" t="n">
        <f aca="false">D714*I714</f>
        <v>3235157.35138004</v>
      </c>
      <c r="K714" s="7" t="n">
        <f aca="false">Parâmetros!$B$4+Parâmetros!$B$5*F714</f>
        <v>0.02</v>
      </c>
      <c r="L714" s="11" t="n">
        <f aca="false">D714*(1+G714)</f>
        <v>10979.6168386901</v>
      </c>
      <c r="M714" s="14" t="n">
        <v>0</v>
      </c>
      <c r="N714" s="4" t="n">
        <v>1</v>
      </c>
      <c r="O714" s="3" t="str">
        <f aca="false">IF(AND(B714=4,M714=1),IF(N714&lt;0.8,"Subgrupo 7 dias; fronteira de cluster","Subgrupo 7 dias"),IF(N714&lt;0.8,"Fronteira de cluster",""))</f>
        <v/>
      </c>
    </row>
    <row r="715" customFormat="false" ht="15" hidden="false" customHeight="false" outlineLevel="0" collapsed="false">
      <c r="A715" s="14" t="n">
        <v>714</v>
      </c>
      <c r="B715" s="14" t="n">
        <v>1</v>
      </c>
      <c r="C715" s="14" t="s">
        <v>30</v>
      </c>
      <c r="D715" s="15" t="n">
        <v>4553.94723294723</v>
      </c>
      <c r="E715" s="16" t="n">
        <f aca="false">INDEX(Parâmetros!$C$33:$C$37,MATCH(B715,Parâmetros!$A$33:$A$37,0))</f>
        <v>6959.92435130262</v>
      </c>
      <c r="F715" s="7" t="n">
        <f aca="false">MAX(0,(E715-D715)/D715)</f>
        <v>0.528327842920192</v>
      </c>
      <c r="G715" s="7" t="n">
        <f aca="false">MIN(K715*Parâmetros!$B$19,Parâmetros!$B$8)</f>
        <v>0.185569146087917</v>
      </c>
      <c r="H715" s="3" t="str">
        <f aca="false">IF(F715&gt;=Parâmetros!$B$6,"Ação","Acompanhamento")</f>
        <v>Ação</v>
      </c>
      <c r="I715" s="17" t="n">
        <v>301.066878980892</v>
      </c>
      <c r="J715" s="11" t="n">
        <f aca="false">D715*I715</f>
        <v>1371042.68046709</v>
      </c>
      <c r="K715" s="7" t="n">
        <f aca="false">Parâmetros!$B$4+Parâmetros!$B$5*F715</f>
        <v>0.152081960730048</v>
      </c>
      <c r="L715" s="11" t="n">
        <f aca="false">D715*(1+G715)</f>
        <v>5399.01933229469</v>
      </c>
      <c r="M715" s="14" t="n">
        <v>0</v>
      </c>
      <c r="N715" s="4" t="n">
        <v>0.975609756097561</v>
      </c>
      <c r="O715" s="3" t="str">
        <f aca="false">IF(AND(B715=4,M715=1),IF(N715&lt;0.8,"Subgrupo 7 dias; fronteira de cluster","Subgrupo 7 dias"),IF(N715&lt;0.8,"Fronteira de cluster",""))</f>
        <v/>
      </c>
    </row>
    <row r="716" customFormat="false" ht="15" hidden="false" customHeight="false" outlineLevel="0" collapsed="false">
      <c r="A716" s="14" t="n">
        <v>715</v>
      </c>
      <c r="B716" s="14" t="n">
        <v>3</v>
      </c>
      <c r="C716" s="14" t="s">
        <v>32</v>
      </c>
      <c r="D716" s="15" t="n">
        <v>6491.09536082474</v>
      </c>
      <c r="E716" s="16" t="n">
        <f aca="false">INDEX(Parâmetros!$C$33:$C$37,MATCH(B716,Parâmetros!$A$33:$A$37,0))</f>
        <v>5909.24487179487</v>
      </c>
      <c r="F716" s="7" t="n">
        <f aca="false">MAX(0,(E716-D716)/D716)</f>
        <v>0</v>
      </c>
      <c r="G716" s="7" t="n">
        <f aca="false">MIN(K716*Parâmetros!$B$19,Parâmetros!$B$8)</f>
        <v>0.0244038339849275</v>
      </c>
      <c r="H716" s="3" t="str">
        <f aca="false">IF(F716&gt;=Parâmetros!$B$6,"Ação","Acompanhamento")</f>
        <v>Acompanhamento</v>
      </c>
      <c r="I716" s="17" t="n">
        <v>300.67940552017</v>
      </c>
      <c r="J716" s="11" t="n">
        <f aca="false">D716*I716</f>
        <v>1951738.69426752</v>
      </c>
      <c r="K716" s="7" t="n">
        <f aca="false">Parâmetros!$B$4+Parâmetros!$B$5*F716</f>
        <v>0.02</v>
      </c>
      <c r="L716" s="11" t="n">
        <f aca="false">D716*(1+G716)</f>
        <v>6649.50297439064</v>
      </c>
      <c r="M716" s="14" t="n">
        <v>0</v>
      </c>
      <c r="N716" s="4" t="n">
        <v>1</v>
      </c>
      <c r="O716" s="3" t="str">
        <f aca="false">IF(AND(B716=4,M716=1),IF(N716&lt;0.8,"Subgrupo 7 dias; fronteira de cluster","Subgrupo 7 dias"),IF(N716&lt;0.8,"Fronteira de cluster",""))</f>
        <v/>
      </c>
    </row>
    <row r="717" customFormat="false" ht="15" hidden="false" customHeight="false" outlineLevel="0" collapsed="false">
      <c r="A717" s="14" t="n">
        <v>716</v>
      </c>
      <c r="B717" s="14" t="n">
        <v>1</v>
      </c>
      <c r="C717" s="14" t="s">
        <v>30</v>
      </c>
      <c r="D717" s="15" t="n">
        <v>5717.08199356913</v>
      </c>
      <c r="E717" s="16" t="n">
        <f aca="false">INDEX(Parâmetros!$C$33:$C$37,MATCH(B717,Parâmetros!$A$33:$A$37,0))</f>
        <v>6959.92435130262</v>
      </c>
      <c r="F717" s="7" t="n">
        <f aca="false">MAX(0,(E717-D717)/D717)</f>
        <v>0.217391032546237</v>
      </c>
      <c r="G717" s="7" t="n">
        <f aca="false">MIN(K717*Parâmetros!$B$19,Parâmetros!$B$8)</f>
        <v>0.0907185173358064</v>
      </c>
      <c r="H717" s="3" t="str">
        <f aca="false">IF(F717&gt;=Parâmetros!$B$6,"Ação","Acompanhamento")</f>
        <v>Ação</v>
      </c>
      <c r="I717" s="17" t="n">
        <v>299.511873350924</v>
      </c>
      <c r="J717" s="11" t="n">
        <f aca="false">D717*I717</f>
        <v>1712333.93799472</v>
      </c>
      <c r="K717" s="7" t="n">
        <f aca="false">Parâmetros!$B$4+Parâmetros!$B$5*F717</f>
        <v>0.0743477581365591</v>
      </c>
      <c r="L717" s="11" t="n">
        <f aca="false">D717*(1+G717)</f>
        <v>6235.72719551296</v>
      </c>
      <c r="M717" s="14" t="n">
        <v>0</v>
      </c>
      <c r="N717" s="4" t="n">
        <v>1</v>
      </c>
      <c r="O717" s="3" t="str">
        <f aca="false">IF(AND(B717=4,M717=1),IF(N717&lt;0.8,"Subgrupo 7 dias; fronteira de cluster","Subgrupo 7 dias"),IF(N717&lt;0.8,"Fronteira de cluster",""))</f>
        <v/>
      </c>
    </row>
    <row r="718" customFormat="false" ht="15" hidden="false" customHeight="false" outlineLevel="0" collapsed="false">
      <c r="A718" s="14" t="n">
        <v>717</v>
      </c>
      <c r="B718" s="14" t="n">
        <v>3</v>
      </c>
      <c r="C718" s="14" t="s">
        <v>32</v>
      </c>
      <c r="D718" s="15" t="n">
        <v>5552.89473684211</v>
      </c>
      <c r="E718" s="16" t="n">
        <f aca="false">INDEX(Parâmetros!$C$33:$C$37,MATCH(B718,Parâmetros!$A$33:$A$37,0))</f>
        <v>5909.24487179487</v>
      </c>
      <c r="F718" s="7" t="n">
        <f aca="false">MAX(0,(E718-D718)/D718)</f>
        <v>0.0641737601450412</v>
      </c>
      <c r="G718" s="7" t="n">
        <f aca="false">MIN(K718*Parâmetros!$B$19,Parâmetros!$B$8)</f>
        <v>0.0439799063445292</v>
      </c>
      <c r="H718" s="3" t="str">
        <f aca="false">IF(F718&gt;=Parâmetros!$B$6,"Ação","Acompanhamento")</f>
        <v>Acompanhamento</v>
      </c>
      <c r="I718" s="17" t="n">
        <v>301.841825902336</v>
      </c>
      <c r="J718" s="11" t="n">
        <f aca="false">D718*I718</f>
        <v>1676095.88641189</v>
      </c>
      <c r="K718" s="7" t="n">
        <f aca="false">Parâmetros!$B$4+Parâmetros!$B$5*F718</f>
        <v>0.0360434400362603</v>
      </c>
      <c r="L718" s="11" t="n">
        <f aca="false">D718*(1+G718)</f>
        <v>5797.11052730945</v>
      </c>
      <c r="M718" s="14" t="n">
        <v>0</v>
      </c>
      <c r="N718" s="4" t="n">
        <v>0.728395061728395</v>
      </c>
      <c r="O718" s="3" t="str">
        <f aca="false">IF(AND(B718=4,M718=1),IF(N718&lt;0.8,"Subgrupo 7 dias; fronteira de cluster","Subgrupo 7 dias"),IF(N718&lt;0.8,"Fronteira de cluster",""))</f>
        <v>Fronteira de cluster</v>
      </c>
    </row>
    <row r="719" customFormat="false" ht="15" hidden="false" customHeight="false" outlineLevel="0" collapsed="false">
      <c r="A719" s="14" t="n">
        <v>718</v>
      </c>
      <c r="B719" s="14" t="n">
        <v>4</v>
      </c>
      <c r="C719" s="14" t="s">
        <v>33</v>
      </c>
      <c r="D719" s="15" t="n">
        <v>7911.31370038412</v>
      </c>
      <c r="E719" s="16" t="n">
        <f aca="false">INDEX(Parâmetros!$C$33:$C$37,MATCH(B719,Parâmetros!$A$33:$A$37,0))</f>
        <v>8837.10512820513</v>
      </c>
      <c r="F719" s="7" t="n">
        <f aca="false">MAX(0,(E719-D719)/D719)</f>
        <v>0.117021200635244</v>
      </c>
      <c r="G719" s="7" t="n">
        <f aca="false">MIN(K719*Parâmetros!$B$19,Parâmetros!$B$8)</f>
        <v>0.0601009083976697</v>
      </c>
      <c r="H719" s="3" t="str">
        <f aca="false">IF(F719&gt;=Parâmetros!$B$6,"Ação","Acompanhamento")</f>
        <v>Ação</v>
      </c>
      <c r="I719" s="17" t="n">
        <v>302.616772823779</v>
      </c>
      <c r="J719" s="11" t="n">
        <f aca="false">D719*I719</f>
        <v>2394096.22080679</v>
      </c>
      <c r="K719" s="7" t="n">
        <f aca="false">Parâmetros!$B$4+Parâmetros!$B$5*F719</f>
        <v>0.049255300158811</v>
      </c>
      <c r="L719" s="11" t="n">
        <f aca="false">D719*(1+G719)</f>
        <v>8386.79084039614</v>
      </c>
      <c r="M719" s="14" t="n">
        <v>0</v>
      </c>
      <c r="N719" s="4" t="n">
        <v>1</v>
      </c>
      <c r="O719" s="3" t="str">
        <f aca="false">IF(AND(B719=4,M719=1),IF(N719&lt;0.8,"Subgrupo 7 dias; fronteira de cluster","Subgrupo 7 dias"),IF(N719&lt;0.8,"Fronteira de cluster",""))</f>
        <v/>
      </c>
    </row>
    <row r="720" customFormat="false" ht="15" hidden="false" customHeight="false" outlineLevel="0" collapsed="false">
      <c r="A720" s="14" t="n">
        <v>719</v>
      </c>
      <c r="B720" s="14" t="n">
        <v>1</v>
      </c>
      <c r="C720" s="14" t="s">
        <v>30</v>
      </c>
      <c r="D720" s="15" t="n">
        <v>5383.60450160772</v>
      </c>
      <c r="E720" s="16" t="n">
        <f aca="false">INDEX(Parâmetros!$C$33:$C$37,MATCH(B720,Parâmetros!$A$33:$A$37,0))</f>
        <v>6959.92435130262</v>
      </c>
      <c r="F720" s="7" t="n">
        <f aca="false">MAX(0,(E720-D720)/D720)</f>
        <v>0.292800083888808</v>
      </c>
      <c r="G720" s="7" t="n">
        <f aca="false">MIN(K720*Parâmetros!$B$19,Parâmetros!$B$8)</f>
        <v>0.113721891959869</v>
      </c>
      <c r="H720" s="3" t="str">
        <f aca="false">IF(F720&gt;=Parâmetros!$B$6,"Ação","Acompanhamento")</f>
        <v>Ação</v>
      </c>
      <c r="I720" s="17" t="n">
        <v>299.511873350924</v>
      </c>
      <c r="J720" s="11" t="n">
        <f aca="false">D720*I720</f>
        <v>1612453.46965699</v>
      </c>
      <c r="K720" s="7" t="n">
        <f aca="false">Parâmetros!$B$4+Parâmetros!$B$5*F720</f>
        <v>0.093200020972202</v>
      </c>
      <c r="L720" s="11" t="n">
        <f aca="false">D720*(1+G720)</f>
        <v>5995.83819109421</v>
      </c>
      <c r="M720" s="14" t="n">
        <v>0</v>
      </c>
      <c r="N720" s="4" t="n">
        <v>1</v>
      </c>
      <c r="O720" s="3" t="str">
        <f aca="false">IF(AND(B720=4,M720=1),IF(N720&lt;0.8,"Subgrupo 7 dias; fronteira de cluster","Subgrupo 7 dias"),IF(N720&lt;0.8,"Fronteira de cluster",""))</f>
        <v/>
      </c>
    </row>
    <row r="721" customFormat="false" ht="15" hidden="false" customHeight="false" outlineLevel="0" collapsed="false">
      <c r="A721" s="14" t="n">
        <v>720</v>
      </c>
      <c r="B721" s="14" t="n">
        <v>1</v>
      </c>
      <c r="C721" s="14" t="s">
        <v>30</v>
      </c>
      <c r="D721" s="15" t="n">
        <v>7166.12882653061</v>
      </c>
      <c r="E721" s="16" t="n">
        <f aca="false">INDEX(Parâmetros!$C$33:$C$37,MATCH(B721,Parâmetros!$A$33:$A$37,0))</f>
        <v>6959.92435130262</v>
      </c>
      <c r="F721" s="7" t="n">
        <f aca="false">MAX(0,(E721-D721)/D721)</f>
        <v>0</v>
      </c>
      <c r="G721" s="7" t="n">
        <f aca="false">MIN(K721*Parâmetros!$B$19,Parâmetros!$B$8)</f>
        <v>0.0244038339849275</v>
      </c>
      <c r="H721" s="3" t="str">
        <f aca="false">IF(F721&gt;=Parâmetros!$B$6,"Ação","Acompanhamento")</f>
        <v>Acompanhamento</v>
      </c>
      <c r="I721" s="17" t="n">
        <v>303.779193205945</v>
      </c>
      <c r="J721" s="11" t="n">
        <f aca="false">D721*I721</f>
        <v>2176920.83333333</v>
      </c>
      <c r="K721" s="7" t="n">
        <f aca="false">Parâmetros!$B$4+Parâmetros!$B$5*F721</f>
        <v>0.02</v>
      </c>
      <c r="L721" s="11" t="n">
        <f aca="false">D721*(1+G721)</f>
        <v>7341.00984472787</v>
      </c>
      <c r="M721" s="14" t="n">
        <v>0</v>
      </c>
      <c r="N721" s="4" t="n">
        <v>1</v>
      </c>
      <c r="O721" s="3" t="str">
        <f aca="false">IF(AND(B721=4,M721=1),IF(N721&lt;0.8,"Subgrupo 7 dias; fronteira de cluster","Subgrupo 7 dias"),IF(N721&lt;0.8,"Fronteira de cluster",""))</f>
        <v/>
      </c>
    </row>
    <row r="722" customFormat="false" ht="15" hidden="false" customHeight="false" outlineLevel="0" collapsed="false">
      <c r="A722" s="14" t="n">
        <v>721</v>
      </c>
      <c r="B722" s="14" t="n">
        <v>1</v>
      </c>
      <c r="C722" s="14" t="s">
        <v>30</v>
      </c>
      <c r="D722" s="15" t="n">
        <v>7673.41326530612</v>
      </c>
      <c r="E722" s="16" t="n">
        <f aca="false">INDEX(Parâmetros!$C$33:$C$37,MATCH(B722,Parâmetros!$A$33:$A$37,0))</f>
        <v>6959.92435130262</v>
      </c>
      <c r="F722" s="7" t="n">
        <f aca="false">MAX(0,(E722-D722)/D722)</f>
        <v>0</v>
      </c>
      <c r="G722" s="7" t="n">
        <f aca="false">MIN(K722*Parâmetros!$B$19,Parâmetros!$B$8)</f>
        <v>0.0244038339849275</v>
      </c>
      <c r="H722" s="3" t="str">
        <f aca="false">IF(F722&gt;=Parâmetros!$B$6,"Ação","Acompanhamento")</f>
        <v>Acompanhamento</v>
      </c>
      <c r="I722" s="17" t="n">
        <v>303.779193205945</v>
      </c>
      <c r="J722" s="11" t="n">
        <f aca="false">D722*I722</f>
        <v>2331023.29087049</v>
      </c>
      <c r="K722" s="7" t="n">
        <f aca="false">Parâmetros!$B$4+Parâmetros!$B$5*F722</f>
        <v>0.02</v>
      </c>
      <c r="L722" s="11" t="n">
        <f aca="false">D722*(1+G722)</f>
        <v>7860.67396873039</v>
      </c>
      <c r="M722" s="14" t="n">
        <v>0</v>
      </c>
      <c r="N722" s="4" t="n">
        <v>1</v>
      </c>
      <c r="O722" s="3" t="str">
        <f aca="false">IF(AND(B722=4,M722=1),IF(N722&lt;0.8,"Subgrupo 7 dias; fronteira de cluster","Subgrupo 7 dias"),IF(N722&lt;0.8,"Fronteira de cluster",""))</f>
        <v/>
      </c>
    </row>
    <row r="723" customFormat="false" ht="15" hidden="false" customHeight="false" outlineLevel="0" collapsed="false">
      <c r="A723" s="14" t="n">
        <v>722</v>
      </c>
      <c r="B723" s="14" t="n">
        <v>4</v>
      </c>
      <c r="C723" s="14" t="s">
        <v>33</v>
      </c>
      <c r="D723" s="15" t="n">
        <v>9836.64668367347</v>
      </c>
      <c r="E723" s="16" t="n">
        <f aca="false">INDEX(Parâmetros!$C$33:$C$37,MATCH(B723,Parâmetros!$A$33:$A$37,0))</f>
        <v>8837.10512820513</v>
      </c>
      <c r="F723" s="7" t="n">
        <f aca="false">MAX(0,(E723-D723)/D723)</f>
        <v>0</v>
      </c>
      <c r="G723" s="7" t="n">
        <f aca="false">MIN(K723*Parâmetros!$B$19,Parâmetros!$B$8)</f>
        <v>0.0244038339849275</v>
      </c>
      <c r="H723" s="3" t="str">
        <f aca="false">IF(F723&gt;=Parâmetros!$B$6,"Ação","Acompanhamento")</f>
        <v>Acompanhamento</v>
      </c>
      <c r="I723" s="17" t="n">
        <v>303.779193205945</v>
      </c>
      <c r="J723" s="11" t="n">
        <f aca="false">D723*I723</f>
        <v>2988168.59341826</v>
      </c>
      <c r="K723" s="7" t="n">
        <f aca="false">Parâmetros!$B$4+Parâmetros!$B$5*F723</f>
        <v>0.02</v>
      </c>
      <c r="L723" s="11" t="n">
        <f aca="false">D723*(1+G723)</f>
        <v>10076.6985763102</v>
      </c>
      <c r="M723" s="14" t="n">
        <v>0</v>
      </c>
      <c r="N723" s="4" t="n">
        <v>0.975308641975309</v>
      </c>
      <c r="O723" s="3" t="str">
        <f aca="false">IF(AND(B723=4,M723=1),IF(N723&lt;0.8,"Subgrupo 7 dias; fronteira de cluster","Subgrupo 7 dias"),IF(N723&lt;0.8,"Fronteira de cluster",""))</f>
        <v/>
      </c>
    </row>
    <row r="724" customFormat="false" ht="15" hidden="false" customHeight="false" outlineLevel="0" collapsed="false">
      <c r="A724" s="14" t="n">
        <v>723</v>
      </c>
      <c r="B724" s="14" t="n">
        <v>1</v>
      </c>
      <c r="C724" s="14" t="s">
        <v>30</v>
      </c>
      <c r="D724" s="15" t="n">
        <v>7032.10371318822</v>
      </c>
      <c r="E724" s="16" t="n">
        <f aca="false">INDEX(Parâmetros!$C$33:$C$37,MATCH(B724,Parâmetros!$A$33:$A$37,0))</f>
        <v>6959.92435130262</v>
      </c>
      <c r="F724" s="7" t="n">
        <f aca="false">MAX(0,(E724-D724)/D724)</f>
        <v>0</v>
      </c>
      <c r="G724" s="7" t="n">
        <f aca="false">MIN(K724*Parâmetros!$B$19,Parâmetros!$B$8)</f>
        <v>0.0244038339849275</v>
      </c>
      <c r="H724" s="3" t="str">
        <f aca="false">IF(F724&gt;=Parâmetros!$B$6,"Ação","Acompanhamento")</f>
        <v>Acompanhamento</v>
      </c>
      <c r="I724" s="17" t="n">
        <v>302.616772823779</v>
      </c>
      <c r="J724" s="11" t="n">
        <f aca="false">D724*I724</f>
        <v>2128032.53184713</v>
      </c>
      <c r="K724" s="7" t="n">
        <f aca="false">Parâmetros!$B$4+Parâmetros!$B$5*F724</f>
        <v>0.02</v>
      </c>
      <c r="L724" s="11" t="n">
        <f aca="false">D724*(1+G724)</f>
        <v>7203.71400476966</v>
      </c>
      <c r="M724" s="14" t="n">
        <v>0</v>
      </c>
      <c r="N724" s="4" t="n">
        <v>1</v>
      </c>
      <c r="O724" s="3" t="str">
        <f aca="false">IF(AND(B724=4,M724=1),IF(N724&lt;0.8,"Subgrupo 7 dias; fronteira de cluster","Subgrupo 7 dias"),IF(N724&lt;0.8,"Fronteira de cluster",""))</f>
        <v/>
      </c>
    </row>
    <row r="725" customFormat="false" ht="15" hidden="false" customHeight="false" outlineLevel="0" collapsed="false">
      <c r="A725" s="14" t="n">
        <v>724</v>
      </c>
      <c r="B725" s="14" t="n">
        <v>1</v>
      </c>
      <c r="C725" s="14" t="s">
        <v>30</v>
      </c>
      <c r="D725" s="15" t="n">
        <v>6812.90500641849</v>
      </c>
      <c r="E725" s="16" t="n">
        <f aca="false">INDEX(Parâmetros!$C$33:$C$37,MATCH(B725,Parâmetros!$A$33:$A$37,0))</f>
        <v>6959.92435130262</v>
      </c>
      <c r="F725" s="7" t="n">
        <f aca="false">MAX(0,(E725-D725)/D725)</f>
        <v>0.0215795383534085</v>
      </c>
      <c r="G725" s="7" t="n">
        <f aca="false">MIN(K725*Parâmetros!$B$19,Parâmetros!$B$8)</f>
        <v>0.0309866273780269</v>
      </c>
      <c r="H725" s="3" t="str">
        <f aca="false">IF(F725&gt;=Parâmetros!$B$6,"Ação","Acompanhamento")</f>
        <v>Acompanhamento</v>
      </c>
      <c r="I725" s="17" t="n">
        <v>301.841825902336</v>
      </c>
      <c r="J725" s="11" t="n">
        <f aca="false">D725*I725</f>
        <v>2056419.68683652</v>
      </c>
      <c r="K725" s="7" t="n">
        <f aca="false">Parâmetros!$B$4+Parâmetros!$B$5*F725</f>
        <v>0.0253948845883521</v>
      </c>
      <c r="L725" s="11" t="n">
        <f aca="false">D725*(1+G725)</f>
        <v>7024.01395521427</v>
      </c>
      <c r="M725" s="14" t="n">
        <v>0</v>
      </c>
      <c r="N725" s="4" t="n">
        <v>1</v>
      </c>
      <c r="O725" s="3" t="str">
        <f aca="false">IF(AND(B725=4,M725=1),IF(N725&lt;0.8,"Subgrupo 7 dias; fronteira de cluster","Subgrupo 7 dias"),IF(N725&lt;0.8,"Fronteira de cluster",""))</f>
        <v/>
      </c>
    </row>
    <row r="726" customFormat="false" ht="15" hidden="false" customHeight="false" outlineLevel="0" collapsed="false">
      <c r="A726" s="14" t="n">
        <v>725</v>
      </c>
      <c r="B726" s="14" t="n">
        <v>1</v>
      </c>
      <c r="C726" s="14" t="s">
        <v>30</v>
      </c>
      <c r="D726" s="15" t="n">
        <v>5747.42474489796</v>
      </c>
      <c r="E726" s="16" t="n">
        <f aca="false">INDEX(Parâmetros!$C$33:$C$37,MATCH(B726,Parâmetros!$A$33:$A$37,0))</f>
        <v>6959.92435130262</v>
      </c>
      <c r="F726" s="7" t="n">
        <f aca="false">MAX(0,(E726-D726)/D726)</f>
        <v>0.2109639812998</v>
      </c>
      <c r="G726" s="7" t="n">
        <f aca="false">MIN(K726*Parâmetros!$B$19,Parâmetros!$B$8)</f>
        <v>0.0887579586904232</v>
      </c>
      <c r="H726" s="3" t="str">
        <f aca="false">IF(F726&gt;=Parâmetros!$B$6,"Ação","Acompanhamento")</f>
        <v>Ação</v>
      </c>
      <c r="I726" s="17" t="n">
        <v>303.779193205945</v>
      </c>
      <c r="J726" s="11" t="n">
        <f aca="false">D726*I726</f>
        <v>1745948.05201699</v>
      </c>
      <c r="K726" s="7" t="n">
        <f aca="false">Parâmetros!$B$4+Parâmetros!$B$5*F726</f>
        <v>0.07274099532495</v>
      </c>
      <c r="L726" s="11" t="n">
        <f aca="false">D726*(1+G726)</f>
        <v>6257.55443298193</v>
      </c>
      <c r="M726" s="14" t="n">
        <v>0</v>
      </c>
      <c r="N726" s="4" t="n">
        <v>0.986111111111111</v>
      </c>
      <c r="O726" s="3" t="str">
        <f aca="false">IF(AND(B726=4,M726=1),IF(N726&lt;0.8,"Subgrupo 7 dias; fronteira de cluster","Subgrupo 7 dias"),IF(N726&lt;0.8,"Fronteira de cluster",""))</f>
        <v/>
      </c>
    </row>
    <row r="727" customFormat="false" ht="15" hidden="false" customHeight="false" outlineLevel="0" collapsed="false">
      <c r="A727" s="14" t="n">
        <v>726</v>
      </c>
      <c r="B727" s="14" t="n">
        <v>3</v>
      </c>
      <c r="C727" s="14" t="s">
        <v>32</v>
      </c>
      <c r="D727" s="15" t="n">
        <v>11048.6730769231</v>
      </c>
      <c r="E727" s="16" t="n">
        <f aca="false">INDEX(Parâmetros!$C$33:$C$37,MATCH(B727,Parâmetros!$A$33:$A$37,0))</f>
        <v>5909.24487179487</v>
      </c>
      <c r="F727" s="7" t="n">
        <f aca="false">MAX(0,(E727-D727)/D727)</f>
        <v>0</v>
      </c>
      <c r="G727" s="7" t="n">
        <f aca="false">MIN(K727*Parâmetros!$B$19,Parâmetros!$B$8)</f>
        <v>0.0244038339849275</v>
      </c>
      <c r="H727" s="3" t="str">
        <f aca="false">IF(F727&gt;=Parâmetros!$B$6,"Ação","Acompanhamento")</f>
        <v>Acompanhamento</v>
      </c>
      <c r="I727" s="17" t="n">
        <v>302.229299363057</v>
      </c>
      <c r="J727" s="11" t="n">
        <f aca="false">D727*I727</f>
        <v>3339232.72292994</v>
      </c>
      <c r="K727" s="7" t="n">
        <f aca="false">Parâmetros!$B$4+Parâmetros!$B$5*F727</f>
        <v>0.02</v>
      </c>
      <c r="L727" s="11" t="n">
        <f aca="false">D727*(1+G727)</f>
        <v>11318.3030604461</v>
      </c>
      <c r="M727" s="14" t="n">
        <v>0</v>
      </c>
      <c r="N727" s="4" t="n">
        <v>1</v>
      </c>
      <c r="O727" s="3" t="str">
        <f aca="false">IF(AND(B727=4,M727=1),IF(N727&lt;0.8,"Subgrupo 7 dias; fronteira de cluster","Subgrupo 7 dias"),IF(N727&lt;0.8,"Fronteira de cluster",""))</f>
        <v/>
      </c>
    </row>
    <row r="728" customFormat="false" ht="15" hidden="false" customHeight="false" outlineLevel="0" collapsed="false">
      <c r="A728" s="14" t="n">
        <v>727</v>
      </c>
      <c r="B728" s="14" t="n">
        <v>0</v>
      </c>
      <c r="C728" s="14" t="s">
        <v>29</v>
      </c>
      <c r="D728" s="15" t="n">
        <v>4529.29065300896</v>
      </c>
      <c r="E728" s="16" t="n">
        <f aca="false">INDEX(Parâmetros!$C$33:$C$37,MATCH(B728,Parâmetros!$A$33:$A$37,0))</f>
        <v>5476.37033462034</v>
      </c>
      <c r="F728" s="7" t="n">
        <f aca="false">MAX(0,(E728-D728)/D728)</f>
        <v>0.209101105265169</v>
      </c>
      <c r="G728" s="7" t="n">
        <f aca="false">MIN(K728*Parâmetros!$B$19,Parâmetros!$B$8)</f>
        <v>0.0881896922218776</v>
      </c>
      <c r="H728" s="3" t="str">
        <f aca="false">IF(F728&gt;=Parâmetros!$B$6,"Ação","Acompanhamento")</f>
        <v>Ação</v>
      </c>
      <c r="I728" s="17" t="n">
        <v>302.616772823779</v>
      </c>
      <c r="J728" s="11" t="n">
        <f aca="false">D728*I728</f>
        <v>1370639.32059448</v>
      </c>
      <c r="K728" s="7" t="n">
        <f aca="false">Parâmetros!$B$4+Parâmetros!$B$5*F728</f>
        <v>0.0722752763162922</v>
      </c>
      <c r="L728" s="11" t="n">
        <f aca="false">D728*(1+G728)</f>
        <v>4928.72740168125</v>
      </c>
      <c r="M728" s="14" t="n">
        <v>0</v>
      </c>
      <c r="N728" s="4" t="n">
        <v>1</v>
      </c>
      <c r="O728" s="3" t="str">
        <f aca="false">IF(AND(B728=4,M728=1),IF(N728&lt;0.8,"Subgrupo 7 dias; fronteira de cluster","Subgrupo 7 dias"),IF(N728&lt;0.8,"Fronteira de cluster",""))</f>
        <v/>
      </c>
    </row>
    <row r="729" customFormat="false" ht="15" hidden="false" customHeight="false" outlineLevel="0" collapsed="false">
      <c r="A729" s="14" t="n">
        <v>728</v>
      </c>
      <c r="B729" s="14" t="n">
        <v>1</v>
      </c>
      <c r="C729" s="14" t="s">
        <v>30</v>
      </c>
      <c r="D729" s="15" t="n">
        <v>5245.70785070785</v>
      </c>
      <c r="E729" s="16" t="n">
        <f aca="false">INDEX(Parâmetros!$C$33:$C$37,MATCH(B729,Parâmetros!$A$33:$A$37,0))</f>
        <v>6959.92435130262</v>
      </c>
      <c r="F729" s="7" t="n">
        <f aca="false">MAX(0,(E729-D729)/D729)</f>
        <v>0.326784592162039</v>
      </c>
      <c r="G729" s="7" t="n">
        <f aca="false">MIN(K729*Parâmetros!$B$19,Parâmetros!$B$8)</f>
        <v>0.12408879568436</v>
      </c>
      <c r="H729" s="3" t="str">
        <f aca="false">IF(F729&gt;=Parâmetros!$B$6,"Ação","Acompanhamento")</f>
        <v>Ação</v>
      </c>
      <c r="I729" s="17" t="n">
        <v>301.066878980892</v>
      </c>
      <c r="J729" s="11" t="n">
        <f aca="false">D729*I729</f>
        <v>1579308.89065817</v>
      </c>
      <c r="K729" s="7" t="n">
        <f aca="false">Parâmetros!$B$4+Parâmetros!$B$5*F729</f>
        <v>0.10169614804051</v>
      </c>
      <c r="L729" s="11" t="n">
        <f aca="false">D729*(1+G729)</f>
        <v>5896.64142041418</v>
      </c>
      <c r="M729" s="14" t="n">
        <v>0</v>
      </c>
      <c r="N729" s="4" t="n">
        <v>1</v>
      </c>
      <c r="O729" s="3" t="str">
        <f aca="false">IF(AND(B729=4,M729=1),IF(N729&lt;0.8,"Subgrupo 7 dias; fronteira de cluster","Subgrupo 7 dias"),IF(N729&lt;0.8,"Fronteira de cluster",""))</f>
        <v/>
      </c>
    </row>
    <row r="730" customFormat="false" ht="15" hidden="false" customHeight="false" outlineLevel="0" collapsed="false">
      <c r="A730" s="14" t="n">
        <v>729</v>
      </c>
      <c r="B730" s="14" t="n">
        <v>1</v>
      </c>
      <c r="C730" s="14" t="s">
        <v>30</v>
      </c>
      <c r="D730" s="15" t="n">
        <v>10548.9139922978</v>
      </c>
      <c r="E730" s="16" t="n">
        <f aca="false">INDEX(Parâmetros!$C$33:$C$37,MATCH(B730,Parâmetros!$A$33:$A$37,0))</f>
        <v>6959.92435130262</v>
      </c>
      <c r="F730" s="7" t="n">
        <f aca="false">MAX(0,(E730-D730)/D730)</f>
        <v>0</v>
      </c>
      <c r="G730" s="7" t="n">
        <f aca="false">MIN(K730*Parâmetros!$B$19,Parâmetros!$B$8)</f>
        <v>0.0244038339849275</v>
      </c>
      <c r="H730" s="3" t="str">
        <f aca="false">IF(F730&gt;=Parâmetros!$B$6,"Ação","Acompanhamento")</f>
        <v>Acompanhamento</v>
      </c>
      <c r="I730" s="17" t="n">
        <v>301.841825902336</v>
      </c>
      <c r="J730" s="11" t="n">
        <f aca="false">D730*I730</f>
        <v>3184103.46072187</v>
      </c>
      <c r="K730" s="7" t="n">
        <f aca="false">Parâmetros!$B$4+Parâmetros!$B$5*F730</f>
        <v>0.02</v>
      </c>
      <c r="L730" s="11" t="n">
        <f aca="false">D730*(1+G730)</f>
        <v>10806.3479380871</v>
      </c>
      <c r="M730" s="14" t="n">
        <v>0</v>
      </c>
      <c r="N730" s="4" t="n">
        <v>1</v>
      </c>
      <c r="O730" s="3" t="str">
        <f aca="false">IF(AND(B730=4,M730=1),IF(N730&lt;0.8,"Subgrupo 7 dias; fronteira de cluster","Subgrupo 7 dias"),IF(N730&lt;0.8,"Fronteira de cluster",""))</f>
        <v/>
      </c>
    </row>
    <row r="731" customFormat="false" ht="15" hidden="false" customHeight="false" outlineLevel="0" collapsed="false">
      <c r="A731" s="14" t="n">
        <v>730</v>
      </c>
      <c r="B731" s="14" t="n">
        <v>4</v>
      </c>
      <c r="C731" s="14" t="s">
        <v>33</v>
      </c>
      <c r="D731" s="15" t="n">
        <v>8055.37244897959</v>
      </c>
      <c r="E731" s="16" t="n">
        <f aca="false">INDEX(Parâmetros!$C$33:$C$37,MATCH(B731,Parâmetros!$A$33:$A$37,0))</f>
        <v>8837.10512820513</v>
      </c>
      <c r="F731" s="7" t="n">
        <f aca="false">MAX(0,(E731-D731)/D731)</f>
        <v>0.097044883297055</v>
      </c>
      <c r="G731" s="7" t="n">
        <f aca="false">MIN(K731*Parâmetros!$B$19,Parâmetros!$B$8)</f>
        <v>0.0540071742482773</v>
      </c>
      <c r="H731" s="3" t="str">
        <f aca="false">IF(F731&gt;=Parâmetros!$B$6,"Ação","Acompanhamento")</f>
        <v>Acompanhamento</v>
      </c>
      <c r="I731" s="17" t="n">
        <v>303.779193205945</v>
      </c>
      <c r="J731" s="11" t="n">
        <f aca="false">D731*I731</f>
        <v>2447054.54352442</v>
      </c>
      <c r="K731" s="7" t="n">
        <f aca="false">Parâmetros!$B$4+Parâmetros!$B$5*F731</f>
        <v>0.0442612208242637</v>
      </c>
      <c r="L731" s="11" t="n">
        <f aca="false">D731*(1+G731)</f>
        <v>8490.4203524664</v>
      </c>
      <c r="M731" s="14" t="n">
        <v>0</v>
      </c>
      <c r="N731" s="4" t="n">
        <v>1</v>
      </c>
      <c r="O731" s="3" t="str">
        <f aca="false">IF(AND(B731=4,M731=1),IF(N731&lt;0.8,"Subgrupo 7 dias; fronteira de cluster","Subgrupo 7 dias"),IF(N731&lt;0.8,"Fronteira de cluster",""))</f>
        <v/>
      </c>
    </row>
    <row r="732" customFormat="false" ht="15" hidden="false" customHeight="false" outlineLevel="0" collapsed="false">
      <c r="A732" s="14" t="n">
        <v>731</v>
      </c>
      <c r="B732" s="14" t="n">
        <v>1</v>
      </c>
      <c r="C732" s="14" t="s">
        <v>30</v>
      </c>
      <c r="D732" s="15" t="n">
        <v>9249.2293814433</v>
      </c>
      <c r="E732" s="16" t="n">
        <f aca="false">INDEX(Parâmetros!$C$33:$C$37,MATCH(B732,Parâmetros!$A$33:$A$37,0))</f>
        <v>6959.92435130262</v>
      </c>
      <c r="F732" s="7" t="n">
        <f aca="false">MAX(0,(E732-D732)/D732)</f>
        <v>0</v>
      </c>
      <c r="G732" s="7" t="n">
        <f aca="false">MIN(K732*Parâmetros!$B$19,Parâmetros!$B$8)</f>
        <v>0.0244038339849275</v>
      </c>
      <c r="H732" s="3" t="str">
        <f aca="false">IF(F732&gt;=Parâmetros!$B$6,"Ação","Acompanhamento")</f>
        <v>Acompanhamento</v>
      </c>
      <c r="I732" s="17" t="n">
        <v>300.67940552017</v>
      </c>
      <c r="J732" s="11" t="n">
        <f aca="false">D732*I732</f>
        <v>2781052.79193206</v>
      </c>
      <c r="K732" s="7" t="n">
        <f aca="false">Parâmetros!$B$4+Parâmetros!$B$5*F732</f>
        <v>0.02</v>
      </c>
      <c r="L732" s="11" t="n">
        <f aca="false">D732*(1+G732)</f>
        <v>9474.94603975656</v>
      </c>
      <c r="M732" s="14" t="n">
        <v>0</v>
      </c>
      <c r="N732" s="4" t="n">
        <v>1</v>
      </c>
      <c r="O732" s="3" t="str">
        <f aca="false">IF(AND(B732=4,M732=1),IF(N732&lt;0.8,"Subgrupo 7 dias; fronteira de cluster","Subgrupo 7 dias"),IF(N732&lt;0.8,"Fronteira de cluster",""))</f>
        <v/>
      </c>
    </row>
    <row r="733" customFormat="false" ht="15" hidden="false" customHeight="false" outlineLevel="0" collapsed="false">
      <c r="A733" s="14" t="n">
        <v>732</v>
      </c>
      <c r="B733" s="14" t="n">
        <v>2</v>
      </c>
      <c r="C733" s="14" t="s">
        <v>31</v>
      </c>
      <c r="D733" s="15" t="n">
        <v>5816.43941109853</v>
      </c>
      <c r="E733" s="16" t="n">
        <f aca="false">INDEX(Parâmetros!$C$33:$C$37,MATCH(B733,Parâmetros!$A$33:$A$37,0))</f>
        <v>6324.80102695764</v>
      </c>
      <c r="F733" s="7" t="n">
        <f aca="false">MAX(0,(E733-D733)/D733)</f>
        <v>0.0874008271949141</v>
      </c>
      <c r="G733" s="7" t="n">
        <f aca="false">MIN(K733*Parâmetros!$B$19,Parâmetros!$B$8)</f>
        <v>0.0510652749475527</v>
      </c>
      <c r="H733" s="3" t="str">
        <f aca="false">IF(F733&gt;=Parâmetros!$B$6,"Ação","Acompanhamento")</f>
        <v>Acompanhamento</v>
      </c>
      <c r="I733" s="17" t="n">
        <v>342.13906581741</v>
      </c>
      <c r="J733" s="11" t="n">
        <f aca="false">D733*I733</f>
        <v>1990031.14649682</v>
      </c>
      <c r="K733" s="7" t="n">
        <f aca="false">Parâmetros!$B$4+Parâmetros!$B$5*F733</f>
        <v>0.0418502067987285</v>
      </c>
      <c r="L733" s="11" t="n">
        <f aca="false">D733*(1+G733)</f>
        <v>6113.45748884206</v>
      </c>
      <c r="M733" s="14" t="n">
        <v>1</v>
      </c>
      <c r="N733" s="4" t="n">
        <v>0.954022988505747</v>
      </c>
      <c r="O733" s="3" t="str">
        <f aca="false">IF(AND(B733=4,M733=1),IF(N733&lt;0.8,"Subgrupo 7 dias; fronteira de cluster","Subgrupo 7 dias"),IF(N733&lt;0.8,"Fronteira de cluster",""))</f>
        <v/>
      </c>
    </row>
    <row r="734" customFormat="false" ht="15" hidden="false" customHeight="false" outlineLevel="0" collapsed="false">
      <c r="A734" s="14" t="n">
        <v>733</v>
      </c>
      <c r="B734" s="14" t="n">
        <v>4</v>
      </c>
      <c r="C734" s="14" t="s">
        <v>33</v>
      </c>
      <c r="D734" s="15" t="n">
        <v>14933.2887473461</v>
      </c>
      <c r="E734" s="16" t="n">
        <f aca="false">INDEX(Parâmetros!$C$33:$C$37,MATCH(B734,Parâmetros!$A$33:$A$37,0))</f>
        <v>8837.10512820513</v>
      </c>
      <c r="F734" s="7" t="n">
        <f aca="false">MAX(0,(E734-D734)/D734)</f>
        <v>0</v>
      </c>
      <c r="G734" s="7" t="n">
        <f aca="false">MIN(K734*Parâmetros!$B$19,Parâmetros!$B$8)</f>
        <v>0.0244038339849275</v>
      </c>
      <c r="H734" s="3" t="str">
        <f aca="false">IF(F734&gt;=Parâmetros!$B$6,"Ação","Acompanhamento")</f>
        <v>Acompanhamento</v>
      </c>
      <c r="I734" s="17" t="n">
        <v>365</v>
      </c>
      <c r="J734" s="11" t="n">
        <f aca="false">D734*I734</f>
        <v>5450650.39278132</v>
      </c>
      <c r="K734" s="7" t="n">
        <f aca="false">Parâmetros!$B$4+Parâmetros!$B$5*F734</f>
        <v>0.02</v>
      </c>
      <c r="L734" s="11" t="n">
        <f aca="false">D734*(1+G734)</f>
        <v>15297.7182467853</v>
      </c>
      <c r="M734" s="14" t="n">
        <v>1</v>
      </c>
      <c r="N734" s="4" t="n">
        <v>1</v>
      </c>
      <c r="O734" s="3" t="str">
        <f aca="false">IF(AND(B734=4,M734=1),IF(N734&lt;0.8,"Subgrupo 7 dias; fronteira de cluster","Subgrupo 7 dias"),IF(N734&lt;0.8,"Fronteira de cluster",""))</f>
        <v>Subgrupo 7 dias</v>
      </c>
    </row>
    <row r="735" customFormat="false" ht="15" hidden="false" customHeight="false" outlineLevel="0" collapsed="false">
      <c r="A735" s="14" t="n">
        <v>734</v>
      </c>
      <c r="B735" s="14" t="n">
        <v>3</v>
      </c>
      <c r="C735" s="14" t="s">
        <v>32</v>
      </c>
      <c r="D735" s="15" t="n">
        <v>5980.52374839538</v>
      </c>
      <c r="E735" s="16" t="n">
        <f aca="false">INDEX(Parâmetros!$C$33:$C$37,MATCH(B735,Parâmetros!$A$33:$A$37,0))</f>
        <v>5909.24487179487</v>
      </c>
      <c r="F735" s="7" t="n">
        <f aca="false">MAX(0,(E735-D735)/D735)</f>
        <v>0</v>
      </c>
      <c r="G735" s="7" t="n">
        <f aca="false">MIN(K735*Parâmetros!$B$19,Parâmetros!$B$8)</f>
        <v>0.0244038339849275</v>
      </c>
      <c r="H735" s="3" t="str">
        <f aca="false">IF(F735&gt;=Parâmetros!$B$6,"Ação","Acompanhamento")</f>
        <v>Acompanhamento</v>
      </c>
      <c r="I735" s="17" t="n">
        <v>301.841825902336</v>
      </c>
      <c r="J735" s="11" t="n">
        <f aca="false">D735*I735</f>
        <v>1805172.20806794</v>
      </c>
      <c r="K735" s="7" t="n">
        <f aca="false">Parâmetros!$B$4+Parâmetros!$B$5*F735</f>
        <v>0.02</v>
      </c>
      <c r="L735" s="11" t="n">
        <f aca="false">D735*(1+G735)</f>
        <v>6126.47145709414</v>
      </c>
      <c r="M735" s="14" t="n">
        <v>0</v>
      </c>
      <c r="N735" s="4" t="n">
        <v>0.75</v>
      </c>
      <c r="O735" s="3" t="str">
        <f aca="false">IF(AND(B735=4,M735=1),IF(N735&lt;0.8,"Subgrupo 7 dias; fronteira de cluster","Subgrupo 7 dias"),IF(N735&lt;0.8,"Fronteira de cluster",""))</f>
        <v>Fronteira de cluster</v>
      </c>
    </row>
    <row r="736" customFormat="false" ht="15" hidden="false" customHeight="false" outlineLevel="0" collapsed="false">
      <c r="A736" s="14" t="n">
        <v>735</v>
      </c>
      <c r="B736" s="14" t="n">
        <v>3</v>
      </c>
      <c r="C736" s="14" t="s">
        <v>32</v>
      </c>
      <c r="D736" s="15" t="n">
        <v>5518.54102564103</v>
      </c>
      <c r="E736" s="16" t="n">
        <f aca="false">INDEX(Parâmetros!$C$33:$C$37,MATCH(B736,Parâmetros!$A$33:$A$37,0))</f>
        <v>5909.24487179487</v>
      </c>
      <c r="F736" s="7" t="n">
        <f aca="false">MAX(0,(E736-D736)/D736)</f>
        <v>0.0707983947819727</v>
      </c>
      <c r="G736" s="7" t="n">
        <f aca="false">MIN(K736*Parâmetros!$B$19,Parâmetros!$B$8)</f>
        <v>0.0460007373931601</v>
      </c>
      <c r="H736" s="3" t="str">
        <f aca="false">IF(F736&gt;=Parâmetros!$B$6,"Ação","Acompanhamento")</f>
        <v>Acompanhamento</v>
      </c>
      <c r="I736" s="17" t="n">
        <v>302.229299363057</v>
      </c>
      <c r="J736" s="11" t="n">
        <f aca="false">D736*I736</f>
        <v>1667864.78768578</v>
      </c>
      <c r="K736" s="7" t="n">
        <f aca="false">Parâmetros!$B$4+Parâmetros!$B$5*F736</f>
        <v>0.0376995986954932</v>
      </c>
      <c r="L736" s="11" t="n">
        <f aca="false">D736*(1+G736)</f>
        <v>5772.39798215492</v>
      </c>
      <c r="M736" s="14" t="n">
        <v>0</v>
      </c>
      <c r="N736" s="4" t="n">
        <v>1</v>
      </c>
      <c r="O736" s="3" t="str">
        <f aca="false">IF(AND(B736=4,M736=1),IF(N736&lt;0.8,"Subgrupo 7 dias; fronteira de cluster","Subgrupo 7 dias"),IF(N736&lt;0.8,"Fronteira de cluster",""))</f>
        <v/>
      </c>
    </row>
    <row r="737" customFormat="false" ht="15" hidden="false" customHeight="false" outlineLevel="0" collapsed="false">
      <c r="A737" s="14" t="n">
        <v>736</v>
      </c>
      <c r="B737" s="14" t="n">
        <v>1</v>
      </c>
      <c r="C737" s="14" t="s">
        <v>30</v>
      </c>
      <c r="D737" s="15" t="n">
        <v>5244.07556270097</v>
      </c>
      <c r="E737" s="16" t="n">
        <f aca="false">INDEX(Parâmetros!$C$33:$C$37,MATCH(B737,Parâmetros!$A$33:$A$37,0))</f>
        <v>6959.92435130262</v>
      </c>
      <c r="F737" s="7" t="n">
        <f aca="false">MAX(0,(E737-D737)/D737)</f>
        <v>0.327197571447256</v>
      </c>
      <c r="G737" s="7" t="n">
        <f aca="false">MIN(K737*Parâmetros!$B$19,Parâmetros!$B$8)</f>
        <v>0.124214774158306</v>
      </c>
      <c r="H737" s="3" t="str">
        <f aca="false">IF(F737&gt;=Parâmetros!$B$6,"Ação","Acompanhamento")</f>
        <v>Ação</v>
      </c>
      <c r="I737" s="17" t="n">
        <v>299.511873350924</v>
      </c>
      <c r="J737" s="11" t="n">
        <f aca="false">D737*I737</f>
        <v>1570662.89577836</v>
      </c>
      <c r="K737" s="7" t="n">
        <f aca="false">Parâmetros!$B$4+Parâmetros!$B$5*F737</f>
        <v>0.101799392861814</v>
      </c>
      <c r="L737" s="11" t="n">
        <f aca="false">D737*(1+G737)</f>
        <v>5895.46722439096</v>
      </c>
      <c r="M737" s="14" t="n">
        <v>0</v>
      </c>
      <c r="N737" s="4" t="n">
        <v>0.987341772151899</v>
      </c>
      <c r="O737" s="3" t="str">
        <f aca="false">IF(AND(B737=4,M737=1),IF(N737&lt;0.8,"Subgrupo 7 dias; fronteira de cluster","Subgrupo 7 dias"),IF(N737&lt;0.8,"Fronteira de cluster",""))</f>
        <v/>
      </c>
    </row>
    <row r="738" customFormat="false" ht="15" hidden="false" customHeight="false" outlineLevel="0" collapsed="false">
      <c r="A738" s="14" t="n">
        <v>737</v>
      </c>
      <c r="B738" s="14" t="n">
        <v>0</v>
      </c>
      <c r="C738" s="14" t="s">
        <v>29</v>
      </c>
      <c r="D738" s="15" t="n">
        <v>6117.90115532734</v>
      </c>
      <c r="E738" s="16" t="n">
        <f aca="false">INDEX(Parâmetros!$C$33:$C$37,MATCH(B738,Parâmetros!$A$33:$A$37,0))</f>
        <v>5476.37033462034</v>
      </c>
      <c r="F738" s="7" t="n">
        <f aca="false">MAX(0,(E738-D738)/D738)</f>
        <v>0</v>
      </c>
      <c r="G738" s="7" t="n">
        <f aca="false">MIN(K738*Parâmetros!$B$19,Parâmetros!$B$8)</f>
        <v>0.0244038339849275</v>
      </c>
      <c r="H738" s="3" t="str">
        <f aca="false">IF(F738&gt;=Parâmetros!$B$6,"Ação","Acompanhamento")</f>
        <v>Acompanhamento</v>
      </c>
      <c r="I738" s="17" t="n">
        <v>301.841825902336</v>
      </c>
      <c r="J738" s="11" t="n">
        <f aca="false">D738*I738</f>
        <v>1846638.45541401</v>
      </c>
      <c r="K738" s="7" t="n">
        <f aca="false">Parâmetros!$B$4+Parâmetros!$B$5*F738</f>
        <v>0.02</v>
      </c>
      <c r="L738" s="11" t="n">
        <f aca="false">D738*(1+G738)</f>
        <v>6267.20139945815</v>
      </c>
      <c r="M738" s="14" t="n">
        <v>0</v>
      </c>
      <c r="N738" s="4" t="n">
        <v>0.962962962962963</v>
      </c>
      <c r="O738" s="3" t="str">
        <f aca="false">IF(AND(B738=4,M738=1),IF(N738&lt;0.8,"Subgrupo 7 dias; fronteira de cluster","Subgrupo 7 dias"),IF(N738&lt;0.8,"Fronteira de cluster",""))</f>
        <v/>
      </c>
    </row>
    <row r="739" customFormat="false" ht="15" hidden="false" customHeight="false" outlineLevel="0" collapsed="false">
      <c r="A739" s="14" t="n">
        <v>738</v>
      </c>
      <c r="B739" s="14" t="n">
        <v>1</v>
      </c>
      <c r="C739" s="14" t="s">
        <v>30</v>
      </c>
      <c r="D739" s="15" t="n">
        <v>8508.60077021823</v>
      </c>
      <c r="E739" s="16" t="n">
        <f aca="false">INDEX(Parâmetros!$C$33:$C$37,MATCH(B739,Parâmetros!$A$33:$A$37,0))</f>
        <v>6959.92435130262</v>
      </c>
      <c r="F739" s="7" t="n">
        <f aca="false">MAX(0,(E739-D739)/D739)</f>
        <v>0</v>
      </c>
      <c r="G739" s="7" t="n">
        <f aca="false">MIN(K739*Parâmetros!$B$19,Parâmetros!$B$8)</f>
        <v>0.0244038339849275</v>
      </c>
      <c r="H739" s="3" t="str">
        <f aca="false">IF(F739&gt;=Parâmetros!$B$6,"Ação","Acompanhamento")</f>
        <v>Acompanhamento</v>
      </c>
      <c r="I739" s="17" t="n">
        <v>301.841825902336</v>
      </c>
      <c r="J739" s="11" t="n">
        <f aca="false">D739*I739</f>
        <v>2568251.59235669</v>
      </c>
      <c r="K739" s="7" t="n">
        <f aca="false">Parâmetros!$B$4+Parâmetros!$B$5*F739</f>
        <v>0.02</v>
      </c>
      <c r="L739" s="11" t="n">
        <f aca="false">D739*(1+G739)</f>
        <v>8716.24325085866</v>
      </c>
      <c r="M739" s="14" t="n">
        <v>0</v>
      </c>
      <c r="N739" s="4" t="n">
        <v>1</v>
      </c>
      <c r="O739" s="3" t="str">
        <f aca="false">IF(AND(B739=4,M739=1),IF(N739&lt;0.8,"Subgrupo 7 dias; fronteira de cluster","Subgrupo 7 dias"),IF(N739&lt;0.8,"Fronteira de cluster",""))</f>
        <v/>
      </c>
    </row>
    <row r="740" customFormat="false" ht="15" hidden="false" customHeight="false" outlineLevel="0" collapsed="false">
      <c r="A740" s="14" t="n">
        <v>739</v>
      </c>
      <c r="B740" s="14" t="n">
        <v>1</v>
      </c>
      <c r="C740" s="14" t="s">
        <v>30</v>
      </c>
      <c r="D740" s="15" t="n">
        <v>9557.6655948553</v>
      </c>
      <c r="E740" s="16" t="n">
        <f aca="false">INDEX(Parâmetros!$C$33:$C$37,MATCH(B740,Parâmetros!$A$33:$A$37,0))</f>
        <v>6959.92435130262</v>
      </c>
      <c r="F740" s="7" t="n">
        <f aca="false">MAX(0,(E740-D740)/D740)</f>
        <v>0</v>
      </c>
      <c r="G740" s="7" t="n">
        <f aca="false">MIN(K740*Parâmetros!$B$19,Parâmetros!$B$8)</f>
        <v>0.0244038339849275</v>
      </c>
      <c r="H740" s="3" t="str">
        <f aca="false">IF(F740&gt;=Parâmetros!$B$6,"Ação","Acompanhamento")</f>
        <v>Acompanhamento</v>
      </c>
      <c r="I740" s="17" t="n">
        <v>299.511873350924</v>
      </c>
      <c r="J740" s="11" t="n">
        <f aca="false">D740*I740</f>
        <v>2862634.32717678</v>
      </c>
      <c r="K740" s="7" t="n">
        <f aca="false">Parâmetros!$B$4+Parâmetros!$B$5*F740</f>
        <v>0.02</v>
      </c>
      <c r="L740" s="11" t="n">
        <f aca="false">D740*(1+G740)</f>
        <v>9790.90927931561</v>
      </c>
      <c r="M740" s="14" t="n">
        <v>0</v>
      </c>
      <c r="N740" s="4" t="n">
        <v>1</v>
      </c>
      <c r="O740" s="3" t="str">
        <f aca="false">IF(AND(B740=4,M740=1),IF(N740&lt;0.8,"Subgrupo 7 dias; fronteira de cluster","Subgrupo 7 dias"),IF(N740&lt;0.8,"Fronteira de cluster",""))</f>
        <v/>
      </c>
    </row>
    <row r="741" customFormat="false" ht="15" hidden="false" customHeight="false" outlineLevel="0" collapsed="false">
      <c r="A741" s="14" t="n">
        <v>740</v>
      </c>
      <c r="B741" s="14" t="n">
        <v>1</v>
      </c>
      <c r="C741" s="14" t="s">
        <v>30</v>
      </c>
      <c r="D741" s="15" t="n">
        <v>6978.17669654289</v>
      </c>
      <c r="E741" s="16" t="n">
        <f aca="false">INDEX(Parâmetros!$C$33:$C$37,MATCH(B741,Parâmetros!$A$33:$A$37,0))</f>
        <v>6959.92435130262</v>
      </c>
      <c r="F741" s="7" t="n">
        <f aca="false">MAX(0,(E741-D741)/D741)</f>
        <v>0</v>
      </c>
      <c r="G741" s="7" t="n">
        <f aca="false">MIN(K741*Parâmetros!$B$19,Parâmetros!$B$8)</f>
        <v>0.0244038339849275</v>
      </c>
      <c r="H741" s="3" t="str">
        <f aca="false">IF(F741&gt;=Parâmetros!$B$6,"Ação","Acompanhamento")</f>
        <v>Acompanhamento</v>
      </c>
      <c r="I741" s="17" t="n">
        <v>302.616772823779</v>
      </c>
      <c r="J741" s="11" t="n">
        <f aca="false">D741*I741</f>
        <v>2111713.31210191</v>
      </c>
      <c r="K741" s="7" t="n">
        <f aca="false">Parâmetros!$B$4+Parâmetros!$B$5*F741</f>
        <v>0.02</v>
      </c>
      <c r="L741" s="11" t="n">
        <f aca="false">D741*(1+G741)</f>
        <v>7148.47096216282</v>
      </c>
      <c r="M741" s="14" t="n">
        <v>0</v>
      </c>
      <c r="N741" s="4" t="n">
        <v>1</v>
      </c>
      <c r="O741" s="3" t="str">
        <f aca="false">IF(AND(B741=4,M741=1),IF(N741&lt;0.8,"Subgrupo 7 dias; fronteira de cluster","Subgrupo 7 dias"),IF(N741&lt;0.8,"Fronteira de cluster",""))</f>
        <v/>
      </c>
    </row>
    <row r="742" customFormat="false" ht="15" hidden="false" customHeight="false" outlineLevel="0" collapsed="false">
      <c r="A742" s="14" t="n">
        <v>741</v>
      </c>
      <c r="B742" s="14" t="n">
        <v>1</v>
      </c>
      <c r="C742" s="14" t="s">
        <v>30</v>
      </c>
      <c r="D742" s="15" t="n">
        <v>7619.4681122449</v>
      </c>
      <c r="E742" s="16" t="n">
        <f aca="false">INDEX(Parâmetros!$C$33:$C$37,MATCH(B742,Parâmetros!$A$33:$A$37,0))</f>
        <v>6959.92435130262</v>
      </c>
      <c r="F742" s="7" t="n">
        <f aca="false">MAX(0,(E742-D742)/D742)</f>
        <v>0</v>
      </c>
      <c r="G742" s="7" t="n">
        <f aca="false">MIN(K742*Parâmetros!$B$19,Parâmetros!$B$8)</f>
        <v>0.0244038339849275</v>
      </c>
      <c r="H742" s="3" t="str">
        <f aca="false">IF(F742&gt;=Parâmetros!$B$6,"Ação","Acompanhamento")</f>
        <v>Acompanhamento</v>
      </c>
      <c r="I742" s="17" t="n">
        <v>303.779193205945</v>
      </c>
      <c r="J742" s="11" t="n">
        <f aca="false">D742*I742</f>
        <v>2314635.87579618</v>
      </c>
      <c r="K742" s="7" t="n">
        <f aca="false">Parâmetros!$B$4+Parâmetros!$B$5*F742</f>
        <v>0.02</v>
      </c>
      <c r="L742" s="11" t="n">
        <f aca="false">D742*(1+G742)</f>
        <v>7805.41234710957</v>
      </c>
      <c r="M742" s="14" t="n">
        <v>0</v>
      </c>
      <c r="N742" s="4" t="n">
        <v>1</v>
      </c>
      <c r="O742" s="3" t="str">
        <f aca="false">IF(AND(B742=4,M742=1),IF(N742&lt;0.8,"Subgrupo 7 dias; fronteira de cluster","Subgrupo 7 dias"),IF(N742&lt;0.8,"Fronteira de cluster",""))</f>
        <v/>
      </c>
    </row>
    <row r="743" customFormat="false" ht="15" hidden="false" customHeight="false" outlineLevel="0" collapsed="false">
      <c r="A743" s="14" t="n">
        <v>742</v>
      </c>
      <c r="B743" s="14" t="n">
        <v>1</v>
      </c>
      <c r="C743" s="14" t="s">
        <v>30</v>
      </c>
      <c r="D743" s="15" t="n">
        <v>8025.88831835687</v>
      </c>
      <c r="E743" s="16" t="n">
        <f aca="false">INDEX(Parâmetros!$C$33:$C$37,MATCH(B743,Parâmetros!$A$33:$A$37,0))</f>
        <v>6959.92435130262</v>
      </c>
      <c r="F743" s="7" t="n">
        <f aca="false">MAX(0,(E743-D743)/D743)</f>
        <v>0</v>
      </c>
      <c r="G743" s="7" t="n">
        <f aca="false">MIN(K743*Parâmetros!$B$19,Parâmetros!$B$8)</f>
        <v>0.0244038339849275</v>
      </c>
      <c r="H743" s="3" t="str">
        <f aca="false">IF(F743&gt;=Parâmetros!$B$6,"Ação","Acompanhamento")</f>
        <v>Acompanhamento</v>
      </c>
      <c r="I743" s="17" t="n">
        <v>301.841825902336</v>
      </c>
      <c r="J743" s="11" t="n">
        <f aca="false">D743*I743</f>
        <v>2422548.78450106</v>
      </c>
      <c r="K743" s="7" t="n">
        <f aca="false">Parâmetros!$B$4+Parâmetros!$B$5*F743</f>
        <v>0.02</v>
      </c>
      <c r="L743" s="11" t="n">
        <f aca="false">D743*(1+G743)</f>
        <v>8221.75076445962</v>
      </c>
      <c r="M743" s="14" t="n">
        <v>0</v>
      </c>
      <c r="N743" s="4" t="n">
        <v>0.975</v>
      </c>
      <c r="O743" s="3" t="str">
        <f aca="false">IF(AND(B743=4,M743=1),IF(N743&lt;0.8,"Subgrupo 7 dias; fronteira de cluster","Subgrupo 7 dias"),IF(N743&lt;0.8,"Fronteira de cluster",""))</f>
        <v/>
      </c>
    </row>
    <row r="744" customFormat="false" ht="15" hidden="false" customHeight="false" outlineLevel="0" collapsed="false">
      <c r="A744" s="14" t="n">
        <v>743</v>
      </c>
      <c r="B744" s="14" t="n">
        <v>3</v>
      </c>
      <c r="C744" s="14" t="s">
        <v>32</v>
      </c>
      <c r="D744" s="15" t="n">
        <v>3816.58974358974</v>
      </c>
      <c r="E744" s="16" t="n">
        <f aca="false">INDEX(Parâmetros!$C$33:$C$37,MATCH(B744,Parâmetros!$A$33:$A$37,0))</f>
        <v>5909.24487179487</v>
      </c>
      <c r="F744" s="7" t="n">
        <f aca="false">MAX(0,(E744-D744)/D744)</f>
        <v>0.548304970876134</v>
      </c>
      <c r="G744" s="7" t="n">
        <f aca="false">MIN(K744*Parâmetros!$B$19,Parâmetros!$B$8)</f>
        <v>0.191663127514573</v>
      </c>
      <c r="H744" s="3" t="str">
        <f aca="false">IF(F744&gt;=Parâmetros!$B$6,"Ação","Acompanhamento")</f>
        <v>Ação</v>
      </c>
      <c r="I744" s="17" t="n">
        <v>302.229299363057</v>
      </c>
      <c r="J744" s="11" t="n">
        <f aca="false">D744*I744</f>
        <v>1153485.24416136</v>
      </c>
      <c r="K744" s="7" t="n">
        <f aca="false">Parâmetros!$B$4+Parâmetros!$B$5*F744</f>
        <v>0.157076242719034</v>
      </c>
      <c r="L744" s="11" t="n">
        <f aca="false">D744*(1+G744)</f>
        <v>4548.0892702862</v>
      </c>
      <c r="M744" s="14" t="n">
        <v>0</v>
      </c>
      <c r="N744" s="4" t="n">
        <v>1</v>
      </c>
      <c r="O744" s="3" t="str">
        <f aca="false">IF(AND(B744=4,M744=1),IF(N744&lt;0.8,"Subgrupo 7 dias; fronteira de cluster","Subgrupo 7 dias"),IF(N744&lt;0.8,"Fronteira de cluster",""))</f>
        <v/>
      </c>
    </row>
    <row r="745" customFormat="false" ht="15" hidden="false" customHeight="false" outlineLevel="0" collapsed="false">
      <c r="A745" s="14" t="n">
        <v>744</v>
      </c>
      <c r="B745" s="14" t="n">
        <v>4</v>
      </c>
      <c r="C745" s="14" t="s">
        <v>33</v>
      </c>
      <c r="D745" s="15" t="n">
        <v>7457.06776859504</v>
      </c>
      <c r="E745" s="16" t="n">
        <f aca="false">INDEX(Parâmetros!$C$33:$C$37,MATCH(B745,Parâmetros!$A$33:$A$37,0))</f>
        <v>8837.10512820513</v>
      </c>
      <c r="F745" s="7" t="n">
        <f aca="false">MAX(0,(E745-D745)/D745)</f>
        <v>0.185064344650591</v>
      </c>
      <c r="G745" s="7" t="n">
        <f aca="false">MIN(K745*Parâmetros!$B$19,Parâmetros!$B$8)</f>
        <v>0.0808573282772077</v>
      </c>
      <c r="H745" s="3" t="str">
        <f aca="false">IF(F745&gt;=Parâmetros!$B$6,"Ação","Acompanhamento")</f>
        <v>Ação</v>
      </c>
      <c r="I745" s="17" t="n">
        <v>291.325857519789</v>
      </c>
      <c r="J745" s="11" t="n">
        <f aca="false">D745*I745</f>
        <v>2172436.66226913</v>
      </c>
      <c r="K745" s="7" t="n">
        <f aca="false">Parâmetros!$B$4+Parâmetros!$B$5*F745</f>
        <v>0.0662660861626478</v>
      </c>
      <c r="L745" s="11" t="n">
        <f aca="false">D745*(1+G745)</f>
        <v>8060.02634514572</v>
      </c>
      <c r="M745" s="14" t="n">
        <v>0</v>
      </c>
      <c r="N745" s="4" t="n">
        <v>1</v>
      </c>
      <c r="O745" s="3" t="str">
        <f aca="false">IF(AND(B745=4,M745=1),IF(N745&lt;0.8,"Subgrupo 7 dias; fronteira de cluster","Subgrupo 7 dias"),IF(N745&lt;0.8,"Fronteira de cluster",""))</f>
        <v/>
      </c>
    </row>
    <row r="746" customFormat="false" ht="15" hidden="false" customHeight="false" outlineLevel="0" collapsed="false">
      <c r="A746" s="14" t="n">
        <v>745</v>
      </c>
      <c r="B746" s="14" t="n">
        <v>3</v>
      </c>
      <c r="C746" s="14" t="s">
        <v>32</v>
      </c>
      <c r="D746" s="15" t="n">
        <v>7499.07820512821</v>
      </c>
      <c r="E746" s="16" t="n">
        <f aca="false">INDEX(Parâmetros!$C$33:$C$37,MATCH(B746,Parâmetros!$A$33:$A$37,0))</f>
        <v>5909.24487179487</v>
      </c>
      <c r="F746" s="7" t="n">
        <f aca="false">MAX(0,(E746-D746)/D746)</f>
        <v>0</v>
      </c>
      <c r="G746" s="7" t="n">
        <f aca="false">MIN(K746*Parâmetros!$B$19,Parâmetros!$B$8)</f>
        <v>0.0244038339849275</v>
      </c>
      <c r="H746" s="3" t="str">
        <f aca="false">IF(F746&gt;=Parâmetros!$B$6,"Ação","Acompanhamento")</f>
        <v>Acompanhamento</v>
      </c>
      <c r="I746" s="17" t="n">
        <v>302.229299363057</v>
      </c>
      <c r="J746" s="11" t="n">
        <f aca="false">D746*I746</f>
        <v>2266441.15180467</v>
      </c>
      <c r="K746" s="7" t="n">
        <f aca="false">Parâmetros!$B$4+Parâmetros!$B$5*F746</f>
        <v>0.02</v>
      </c>
      <c r="L746" s="11" t="n">
        <f aca="false">D746*(1+G746)</f>
        <v>7682.08446468614</v>
      </c>
      <c r="M746" s="14" t="n">
        <v>0</v>
      </c>
      <c r="N746" s="4" t="n">
        <v>1</v>
      </c>
      <c r="O746" s="3" t="str">
        <f aca="false">IF(AND(B746=4,M746=1),IF(N746&lt;0.8,"Subgrupo 7 dias; fronteira de cluster","Subgrupo 7 dias"),IF(N746&lt;0.8,"Fronteira de cluster",""))</f>
        <v/>
      </c>
    </row>
    <row r="747" customFormat="false" ht="15" hidden="false" customHeight="false" outlineLevel="0" collapsed="false">
      <c r="A747" s="14" t="n">
        <v>746</v>
      </c>
      <c r="B747" s="14" t="n">
        <v>1</v>
      </c>
      <c r="C747" s="14" t="s">
        <v>30</v>
      </c>
      <c r="D747" s="15" t="n">
        <v>6039.54929577465</v>
      </c>
      <c r="E747" s="16" t="n">
        <f aca="false">INDEX(Parâmetros!$C$33:$C$37,MATCH(B747,Parâmetros!$A$33:$A$37,0))</f>
        <v>6959.92435130262</v>
      </c>
      <c r="F747" s="7" t="n">
        <f aca="false">MAX(0,(E747-D747)/D747)</f>
        <v>0.152391347508643</v>
      </c>
      <c r="G747" s="7" t="n">
        <f aca="false">MIN(K747*Parâmetros!$B$19,Parâmetros!$B$8)</f>
        <v>0.0708904983016813</v>
      </c>
      <c r="H747" s="3" t="str">
        <f aca="false">IF(F747&gt;=Parâmetros!$B$6,"Ação","Acompanhamento")</f>
        <v>Ação</v>
      </c>
      <c r="I747" s="17" t="n">
        <v>302.616772823779</v>
      </c>
      <c r="J747" s="11" t="n">
        <f aca="false">D747*I747</f>
        <v>1827668.91719745</v>
      </c>
      <c r="K747" s="7" t="n">
        <f aca="false">Parâmetros!$B$4+Parâmetros!$B$5*F747</f>
        <v>0.0580978368771607</v>
      </c>
      <c r="L747" s="11" t="n">
        <f aca="false">D747*(1+G747)</f>
        <v>6467.69595486968</v>
      </c>
      <c r="M747" s="14" t="n">
        <v>0</v>
      </c>
      <c r="N747" s="4" t="n">
        <v>1</v>
      </c>
      <c r="O747" s="3" t="str">
        <f aca="false">IF(AND(B747=4,M747=1),IF(N747&lt;0.8,"Subgrupo 7 dias; fronteira de cluster","Subgrupo 7 dias"),IF(N747&lt;0.8,"Fronteira de cluster",""))</f>
        <v/>
      </c>
    </row>
    <row r="748" customFormat="false" ht="15" hidden="false" customHeight="false" outlineLevel="0" collapsed="false">
      <c r="A748" s="14" t="n">
        <v>747</v>
      </c>
      <c r="B748" s="14" t="n">
        <v>1</v>
      </c>
      <c r="C748" s="14" t="s">
        <v>30</v>
      </c>
      <c r="D748" s="15" t="n">
        <v>8027.14615384615</v>
      </c>
      <c r="E748" s="16" t="n">
        <f aca="false">INDEX(Parâmetros!$C$33:$C$37,MATCH(B748,Parâmetros!$A$33:$A$37,0))</f>
        <v>6959.92435130262</v>
      </c>
      <c r="F748" s="7" t="n">
        <f aca="false">MAX(0,(E748-D748)/D748)</f>
        <v>0</v>
      </c>
      <c r="G748" s="7" t="n">
        <f aca="false">MIN(K748*Parâmetros!$B$19,Parâmetros!$B$8)</f>
        <v>0.0244038339849275</v>
      </c>
      <c r="H748" s="3" t="str">
        <f aca="false">IF(F748&gt;=Parâmetros!$B$6,"Ação","Acompanhamento")</f>
        <v>Acompanhamento</v>
      </c>
      <c r="I748" s="17" t="n">
        <v>302.229299363057</v>
      </c>
      <c r="J748" s="11" t="n">
        <f aca="false">D748*I748</f>
        <v>2426038.75796178</v>
      </c>
      <c r="K748" s="7" t="n">
        <f aca="false">Parâmetros!$B$4+Parâmetros!$B$5*F748</f>
        <v>0.02</v>
      </c>
      <c r="L748" s="11" t="n">
        <f aca="false">D748*(1+G748)</f>
        <v>8223.03929595737</v>
      </c>
      <c r="M748" s="14" t="n">
        <v>0</v>
      </c>
      <c r="N748" s="4" t="n">
        <v>1</v>
      </c>
      <c r="O748" s="3" t="str">
        <f aca="false">IF(AND(B748=4,M748=1),IF(N748&lt;0.8,"Subgrupo 7 dias; fronteira de cluster","Subgrupo 7 dias"),IF(N748&lt;0.8,"Fronteira de cluster",""))</f>
        <v/>
      </c>
    </row>
    <row r="749" customFormat="false" ht="15" hidden="false" customHeight="false" outlineLevel="0" collapsed="false">
      <c r="A749" s="14" t="n">
        <v>748</v>
      </c>
      <c r="B749" s="14" t="n">
        <v>1</v>
      </c>
      <c r="C749" s="14" t="s">
        <v>30</v>
      </c>
      <c r="D749" s="15" t="n">
        <v>5737.67650834403</v>
      </c>
      <c r="E749" s="16" t="n">
        <f aca="false">INDEX(Parâmetros!$C$33:$C$37,MATCH(B749,Parâmetros!$A$33:$A$37,0))</f>
        <v>6959.92435130262</v>
      </c>
      <c r="F749" s="7" t="n">
        <f aca="false">MAX(0,(E749-D749)/D749)</f>
        <v>0.213021393098954</v>
      </c>
      <c r="G749" s="7" t="n">
        <f aca="false">MIN(K749*Parâmetros!$B$19,Parâmetros!$B$8)</f>
        <v>0.0893855678902381</v>
      </c>
      <c r="H749" s="3" t="str">
        <f aca="false">IF(F749&gt;=Parâmetros!$B$6,"Ação","Acompanhamento")</f>
        <v>Ação</v>
      </c>
      <c r="I749" s="17" t="n">
        <v>301.841825902336</v>
      </c>
      <c r="J749" s="11" t="n">
        <f aca="false">D749*I749</f>
        <v>1731870.7537155</v>
      </c>
      <c r="K749" s="7" t="n">
        <f aca="false">Parâmetros!$B$4+Parâmetros!$B$5*F749</f>
        <v>0.0732553482747386</v>
      </c>
      <c r="L749" s="11" t="n">
        <f aca="false">D749*(1+G749)</f>
        <v>6250.54198141284</v>
      </c>
      <c r="M749" s="14" t="n">
        <v>0</v>
      </c>
      <c r="N749" s="4" t="n">
        <v>1</v>
      </c>
      <c r="O749" s="3" t="str">
        <f aca="false">IF(AND(B749=4,M749=1),IF(N749&lt;0.8,"Subgrupo 7 dias; fronteira de cluster","Subgrupo 7 dias"),IF(N749&lt;0.8,"Fronteira de cluster",""))</f>
        <v/>
      </c>
    </row>
    <row r="750" customFormat="false" ht="15" hidden="false" customHeight="false" outlineLevel="0" collapsed="false">
      <c r="A750" s="14" t="n">
        <v>749</v>
      </c>
      <c r="B750" s="14" t="n">
        <v>3</v>
      </c>
      <c r="C750" s="14" t="s">
        <v>32</v>
      </c>
      <c r="D750" s="15" t="n">
        <v>5189.86007702182</v>
      </c>
      <c r="E750" s="16" t="n">
        <f aca="false">INDEX(Parâmetros!$C$33:$C$37,MATCH(B750,Parâmetros!$A$33:$A$37,0))</f>
        <v>5909.24487179487</v>
      </c>
      <c r="F750" s="7" t="n">
        <f aca="false">MAX(0,(E750-D750)/D750)</f>
        <v>0.138613524082881</v>
      </c>
      <c r="G750" s="7" t="n">
        <f aca="false">MIN(K750*Parâmetros!$B$19,Parâmetros!$B$8)</f>
        <v>0.0666876018572322</v>
      </c>
      <c r="H750" s="3" t="str">
        <f aca="false">IF(F750&gt;=Parâmetros!$B$6,"Ação","Acompanhamento")</f>
        <v>Ação</v>
      </c>
      <c r="I750" s="17" t="n">
        <v>301.841825902336</v>
      </c>
      <c r="J750" s="11" t="n">
        <f aca="false">D750*I750</f>
        <v>1566516.8418259</v>
      </c>
      <c r="K750" s="7" t="n">
        <f aca="false">Parâmetros!$B$4+Parâmetros!$B$5*F750</f>
        <v>0.0546533810207204</v>
      </c>
      <c r="L750" s="11" t="n">
        <f aca="false">D750*(1+G750)</f>
        <v>5535.959399533</v>
      </c>
      <c r="M750" s="14" t="n">
        <v>0</v>
      </c>
      <c r="N750" s="4" t="n">
        <v>0.976470588235294</v>
      </c>
      <c r="O750" s="3" t="str">
        <f aca="false">IF(AND(B750=4,M750=1),IF(N750&lt;0.8,"Subgrupo 7 dias; fronteira de cluster","Subgrupo 7 dias"),IF(N750&lt;0.8,"Fronteira de cluster",""))</f>
        <v/>
      </c>
    </row>
    <row r="751" customFormat="false" ht="15" hidden="false" customHeight="false" outlineLevel="0" collapsed="false">
      <c r="A751" s="14" t="n">
        <v>750</v>
      </c>
      <c r="B751" s="14" t="n">
        <v>1</v>
      </c>
      <c r="C751" s="14" t="s">
        <v>30</v>
      </c>
      <c r="D751" s="15" t="n">
        <v>4997.35209003216</v>
      </c>
      <c r="E751" s="16" t="n">
        <f aca="false">INDEX(Parâmetros!$C$33:$C$37,MATCH(B751,Parâmetros!$A$33:$A$37,0))</f>
        <v>6959.92435130262</v>
      </c>
      <c r="F751" s="7" t="n">
        <f aca="false">MAX(0,(E751-D751)/D751)</f>
        <v>0.392722430982012</v>
      </c>
      <c r="G751" s="7" t="n">
        <f aca="false">MIN(K751*Parâmetros!$B$19,Parâmetros!$B$8)</f>
        <v>0.144202996582954</v>
      </c>
      <c r="H751" s="3" t="str">
        <f aca="false">IF(F751&gt;=Parâmetros!$B$6,"Ação","Acompanhamento")</f>
        <v>Ação</v>
      </c>
      <c r="I751" s="17" t="n">
        <v>299.511873350924</v>
      </c>
      <c r="J751" s="11" t="n">
        <f aca="false">D751*I751</f>
        <v>1496766.28627968</v>
      </c>
      <c r="K751" s="7" t="n">
        <f aca="false">Parâmetros!$B$4+Parâmetros!$B$5*F751</f>
        <v>0.118180607745503</v>
      </c>
      <c r="L751" s="11" t="n">
        <f aca="false">D751*(1+G751)</f>
        <v>5717.98523639488</v>
      </c>
      <c r="M751" s="14" t="n">
        <v>0</v>
      </c>
      <c r="N751" s="4" t="n">
        <v>1</v>
      </c>
      <c r="O751" s="3" t="str">
        <f aca="false">IF(AND(B751=4,M751=1),IF(N751&lt;0.8,"Subgrupo 7 dias; fronteira de cluster","Subgrupo 7 dias"),IF(N751&lt;0.8,"Fronteira de cluster",""))</f>
        <v/>
      </c>
    </row>
    <row r="752" customFormat="false" ht="15" hidden="false" customHeight="false" outlineLevel="0" collapsed="false">
      <c r="A752" s="14" t="n">
        <v>751</v>
      </c>
      <c r="B752" s="14" t="n">
        <v>0</v>
      </c>
      <c r="C752" s="14" t="s">
        <v>29</v>
      </c>
      <c r="D752" s="15" t="n">
        <v>4216.21566110398</v>
      </c>
      <c r="E752" s="16" t="n">
        <f aca="false">INDEX(Parâmetros!$C$33:$C$37,MATCH(B752,Parâmetros!$A$33:$A$37,0))</f>
        <v>5476.37033462034</v>
      </c>
      <c r="F752" s="7" t="n">
        <f aca="false">MAX(0,(E752-D752)/D752)</f>
        <v>0.298882878582732</v>
      </c>
      <c r="G752" s="7" t="n">
        <f aca="false">MIN(K752*Parâmetros!$B$19,Parâmetros!$B$8)</f>
        <v>0.115577435858305</v>
      </c>
      <c r="H752" s="3" t="str">
        <f aca="false">IF(F752&gt;=Parâmetros!$B$6,"Ação","Acompanhamento")</f>
        <v>Ação</v>
      </c>
      <c r="I752" s="17" t="n">
        <v>301.841825902336</v>
      </c>
      <c r="J752" s="11" t="n">
        <f aca="false">D752*I752</f>
        <v>1272630.23354565</v>
      </c>
      <c r="K752" s="7" t="n">
        <f aca="false">Parâmetros!$B$4+Parâmetros!$B$5*F752</f>
        <v>0.0947207196456831</v>
      </c>
      <c r="L752" s="11" t="n">
        <f aca="false">D752*(1+G752)</f>
        <v>4703.51505624001</v>
      </c>
      <c r="M752" s="14" t="n">
        <v>0</v>
      </c>
      <c r="N752" s="4" t="n">
        <v>1</v>
      </c>
      <c r="O752" s="3" t="str">
        <f aca="false">IF(AND(B752=4,M752=1),IF(N752&lt;0.8,"Subgrupo 7 dias; fronteira de cluster","Subgrupo 7 dias"),IF(N752&lt;0.8,"Fronteira de cluster",""))</f>
        <v/>
      </c>
    </row>
    <row r="753" customFormat="false" ht="15" hidden="false" customHeight="false" outlineLevel="0" collapsed="false">
      <c r="A753" s="14" t="n">
        <v>752</v>
      </c>
      <c r="B753" s="14" t="n">
        <v>3</v>
      </c>
      <c r="C753" s="14" t="s">
        <v>32</v>
      </c>
      <c r="D753" s="15" t="n">
        <v>5251.65982028241</v>
      </c>
      <c r="E753" s="16" t="n">
        <f aca="false">INDEX(Parâmetros!$C$33:$C$37,MATCH(B753,Parâmetros!$A$33:$A$37,0))</f>
        <v>5909.24487179487</v>
      </c>
      <c r="F753" s="7" t="n">
        <f aca="false">MAX(0,(E753-D753)/D753)</f>
        <v>0.125214708114338</v>
      </c>
      <c r="G753" s="7" t="n">
        <f aca="false">MIN(K753*Parâmetros!$B$19,Parâmetros!$B$8)</f>
        <v>0.0626003208510956</v>
      </c>
      <c r="H753" s="3" t="str">
        <f aca="false">IF(F753&gt;=Parâmetros!$B$6,"Ação","Acompanhamento")</f>
        <v>Ação</v>
      </c>
      <c r="I753" s="17" t="n">
        <v>301.841825902336</v>
      </c>
      <c r="J753" s="11" t="n">
        <f aca="false">D753*I753</f>
        <v>1585170.58917197</v>
      </c>
      <c r="K753" s="7" t="n">
        <f aca="false">Parâmetros!$B$4+Parâmetros!$B$5*F753</f>
        <v>0.0513036770285845</v>
      </c>
      <c r="L753" s="11" t="n">
        <f aca="false">D753*(1+G753)</f>
        <v>5580.4154100329</v>
      </c>
      <c r="M753" s="14" t="n">
        <v>0</v>
      </c>
      <c r="N753" s="4" t="n">
        <v>0.974358974358975</v>
      </c>
      <c r="O753" s="3" t="str">
        <f aca="false">IF(AND(B753=4,M753=1),IF(N753&lt;0.8,"Subgrupo 7 dias; fronteira de cluster","Subgrupo 7 dias"),IF(N753&lt;0.8,"Fronteira de cluster",""))</f>
        <v/>
      </c>
    </row>
    <row r="754" customFormat="false" ht="15" hidden="false" customHeight="false" outlineLevel="0" collapsed="false">
      <c r="A754" s="14" t="n">
        <v>753</v>
      </c>
      <c r="B754" s="14" t="n">
        <v>1</v>
      </c>
      <c r="C754" s="14" t="s">
        <v>30</v>
      </c>
      <c r="D754" s="15" t="n">
        <v>8710.27984595636</v>
      </c>
      <c r="E754" s="16" t="n">
        <f aca="false">INDEX(Parâmetros!$C$33:$C$37,MATCH(B754,Parâmetros!$A$33:$A$37,0))</f>
        <v>6959.92435130262</v>
      </c>
      <c r="F754" s="7" t="n">
        <f aca="false">MAX(0,(E754-D754)/D754)</f>
        <v>0</v>
      </c>
      <c r="G754" s="7" t="n">
        <f aca="false">MIN(K754*Parâmetros!$B$19,Parâmetros!$B$8)</f>
        <v>0.0244038339849275</v>
      </c>
      <c r="H754" s="3" t="str">
        <f aca="false">IF(F754&gt;=Parâmetros!$B$6,"Ação","Acompanhamento")</f>
        <v>Acompanhamento</v>
      </c>
      <c r="I754" s="17" t="n">
        <v>301.841825902336</v>
      </c>
      <c r="J754" s="11" t="n">
        <f aca="false">D754*I754</f>
        <v>2629126.77282378</v>
      </c>
      <c r="K754" s="7" t="n">
        <f aca="false">Parâmetros!$B$4+Parâmetros!$B$5*F754</f>
        <v>0.02</v>
      </c>
      <c r="L754" s="11" t="n">
        <f aca="false">D754*(1+G754)</f>
        <v>8922.84406927933</v>
      </c>
      <c r="M754" s="14" t="n">
        <v>0</v>
      </c>
      <c r="N754" s="4" t="n">
        <v>0.987179487179487</v>
      </c>
      <c r="O754" s="3" t="str">
        <f aca="false">IF(AND(B754=4,M754=1),IF(N754&lt;0.8,"Subgrupo 7 dias; fronteira de cluster","Subgrupo 7 dias"),IF(N754&lt;0.8,"Fronteira de cluster",""))</f>
        <v/>
      </c>
    </row>
    <row r="755" customFormat="false" ht="15" hidden="false" customHeight="false" outlineLevel="0" collapsed="false">
      <c r="A755" s="14" t="n">
        <v>754</v>
      </c>
      <c r="B755" s="14" t="n">
        <v>2</v>
      </c>
      <c r="C755" s="14" t="s">
        <v>31</v>
      </c>
      <c r="D755" s="15" t="n">
        <v>8086.95780051151</v>
      </c>
      <c r="E755" s="16" t="n">
        <f aca="false">INDEX(Parâmetros!$C$33:$C$37,MATCH(B755,Parâmetros!$A$33:$A$37,0))</f>
        <v>6324.80102695764</v>
      </c>
      <c r="F755" s="7" t="n">
        <f aca="false">MAX(0,(E755-D755)/D755)</f>
        <v>0</v>
      </c>
      <c r="G755" s="7" t="n">
        <f aca="false">MIN(K755*Parâmetros!$B$19,Parâmetros!$B$8)</f>
        <v>0.0244038339849275</v>
      </c>
      <c r="H755" s="3" t="str">
        <f aca="false">IF(F755&gt;=Parâmetros!$B$6,"Ação","Acompanhamento")</f>
        <v>Acompanhamento</v>
      </c>
      <c r="I755" s="17" t="n">
        <v>303.004246284501</v>
      </c>
      <c r="J755" s="11" t="n">
        <f aca="false">D755*I755</f>
        <v>2450382.55307856</v>
      </c>
      <c r="K755" s="7" t="n">
        <f aca="false">Parâmetros!$B$4+Parâmetros!$B$5*F755</f>
        <v>0.02</v>
      </c>
      <c r="L755" s="11" t="n">
        <f aca="false">D755*(1+G755)</f>
        <v>8284.31057611831</v>
      </c>
      <c r="M755" s="14" t="n">
        <v>0</v>
      </c>
      <c r="N755" s="4" t="n">
        <v>1</v>
      </c>
      <c r="O755" s="3" t="str">
        <f aca="false">IF(AND(B755=4,M755=1),IF(N755&lt;0.8,"Subgrupo 7 dias; fronteira de cluster","Subgrupo 7 dias"),IF(N755&lt;0.8,"Fronteira de cluster",""))</f>
        <v/>
      </c>
    </row>
    <row r="756" customFormat="false" ht="15" hidden="false" customHeight="false" outlineLevel="0" collapsed="false">
      <c r="A756" s="14" t="n">
        <v>755</v>
      </c>
      <c r="B756" s="14" t="n">
        <v>1</v>
      </c>
      <c r="C756" s="14" t="s">
        <v>30</v>
      </c>
      <c r="D756" s="15" t="n">
        <v>10483.2163892446</v>
      </c>
      <c r="E756" s="16" t="n">
        <f aca="false">INDEX(Parâmetros!$C$33:$C$37,MATCH(B756,Parâmetros!$A$33:$A$37,0))</f>
        <v>6959.92435130262</v>
      </c>
      <c r="F756" s="7" t="n">
        <f aca="false">MAX(0,(E756-D756)/D756)</f>
        <v>0</v>
      </c>
      <c r="G756" s="7" t="n">
        <f aca="false">MIN(K756*Parâmetros!$B$19,Parâmetros!$B$8)</f>
        <v>0.0244038339849275</v>
      </c>
      <c r="H756" s="3" t="str">
        <f aca="false">IF(F756&gt;=Parâmetros!$B$6,"Ação","Acompanhamento")</f>
        <v>Acompanhamento</v>
      </c>
      <c r="I756" s="17" t="n">
        <v>302.616772823779</v>
      </c>
      <c r="J756" s="11" t="n">
        <f aca="false">D756*I756</f>
        <v>3172397.11252654</v>
      </c>
      <c r="K756" s="7" t="n">
        <f aca="false">Parâmetros!$B$4+Parâmetros!$B$5*F756</f>
        <v>0.02</v>
      </c>
      <c r="L756" s="11" t="n">
        <f aca="false">D756*(1+G756)</f>
        <v>10739.0470616358</v>
      </c>
      <c r="M756" s="14" t="n">
        <v>0</v>
      </c>
      <c r="N756" s="4" t="n">
        <v>1</v>
      </c>
      <c r="O756" s="3" t="str">
        <f aca="false">IF(AND(B756=4,M756=1),IF(N756&lt;0.8,"Subgrupo 7 dias; fronteira de cluster","Subgrupo 7 dias"),IF(N756&lt;0.8,"Fronteira de cluster",""))</f>
        <v/>
      </c>
    </row>
    <row r="757" customFormat="false" ht="15" hidden="false" customHeight="false" outlineLevel="0" collapsed="false">
      <c r="A757" s="14" t="n">
        <v>756</v>
      </c>
      <c r="B757" s="14" t="n">
        <v>4</v>
      </c>
      <c r="C757" s="14" t="s">
        <v>33</v>
      </c>
      <c r="D757" s="15" t="n">
        <v>16574.8164313222</v>
      </c>
      <c r="E757" s="16" t="n">
        <f aca="false">INDEX(Parâmetros!$C$33:$C$37,MATCH(B757,Parâmetros!$A$33:$A$37,0))</f>
        <v>8837.10512820513</v>
      </c>
      <c r="F757" s="7" t="n">
        <f aca="false">MAX(0,(E757-D757)/D757)</f>
        <v>0</v>
      </c>
      <c r="G757" s="7" t="n">
        <f aca="false">MIN(K757*Parâmetros!$B$19,Parâmetros!$B$8)</f>
        <v>0.0244038339849275</v>
      </c>
      <c r="H757" s="3" t="str">
        <f aca="false">IF(F757&gt;=Parâmetros!$B$6,"Ação","Acompanhamento")</f>
        <v>Acompanhamento</v>
      </c>
      <c r="I757" s="17" t="n">
        <v>301.841825902336</v>
      </c>
      <c r="J757" s="11" t="n">
        <f aca="false">D757*I757</f>
        <v>5002972.85562633</v>
      </c>
      <c r="K757" s="7" t="n">
        <f aca="false">Parâmetros!$B$4+Parâmetros!$B$5*F757</f>
        <v>0.02</v>
      </c>
      <c r="L757" s="11" t="n">
        <f aca="false">D757*(1+G757)</f>
        <v>16979.3054998429</v>
      </c>
      <c r="M757" s="14" t="n">
        <v>0</v>
      </c>
      <c r="N757" s="4" t="n">
        <v>0.960526315789474</v>
      </c>
      <c r="O757" s="3" t="str">
        <f aca="false">IF(AND(B757=4,M757=1),IF(N757&lt;0.8,"Subgrupo 7 dias; fronteira de cluster","Subgrupo 7 dias"),IF(N757&lt;0.8,"Fronteira de cluster",""))</f>
        <v/>
      </c>
    </row>
    <row r="758" customFormat="false" ht="15" hidden="false" customHeight="false" outlineLevel="0" collapsed="false">
      <c r="A758" s="14" t="n">
        <v>757</v>
      </c>
      <c r="B758" s="14" t="n">
        <v>1</v>
      </c>
      <c r="C758" s="14" t="s">
        <v>30</v>
      </c>
      <c r="D758" s="15" t="n">
        <v>6219.78764478765</v>
      </c>
      <c r="E758" s="16" t="n">
        <f aca="false">INDEX(Parâmetros!$C$33:$C$37,MATCH(B758,Parâmetros!$A$33:$A$37,0))</f>
        <v>6959.92435130262</v>
      </c>
      <c r="F758" s="7" t="n">
        <f aca="false">MAX(0,(E758-D758)/D758)</f>
        <v>0.118997102278119</v>
      </c>
      <c r="G758" s="7" t="n">
        <f aca="false">MIN(K758*Parâmetros!$B$19,Parâmetros!$B$8)</f>
        <v>0.0607036530934605</v>
      </c>
      <c r="H758" s="3" t="str">
        <f aca="false">IF(F758&gt;=Parâmetros!$B$6,"Ação","Acompanhamento")</f>
        <v>Ação</v>
      </c>
      <c r="I758" s="17" t="n">
        <v>301.066878980892</v>
      </c>
      <c r="J758" s="11" t="n">
        <f aca="false">D758*I758</f>
        <v>1872572.05414013</v>
      </c>
      <c r="K758" s="7" t="n">
        <f aca="false">Parâmetros!$B$4+Parâmetros!$B$5*F758</f>
        <v>0.0497492755695297</v>
      </c>
      <c r="L758" s="11" t="n">
        <f aca="false">D758*(1+G758)</f>
        <v>6597.35147629183</v>
      </c>
      <c r="M758" s="14" t="n">
        <v>0</v>
      </c>
      <c r="N758" s="4" t="n">
        <v>1</v>
      </c>
      <c r="O758" s="3" t="str">
        <f aca="false">IF(AND(B758=4,M758=1),IF(N758&lt;0.8,"Subgrupo 7 dias; fronteira de cluster","Subgrupo 7 dias"),IF(N758&lt;0.8,"Fronteira de cluster",""))</f>
        <v/>
      </c>
    </row>
    <row r="759" customFormat="false" ht="15" hidden="false" customHeight="false" outlineLevel="0" collapsed="false">
      <c r="A759" s="14" t="n">
        <v>758</v>
      </c>
      <c r="B759" s="14" t="n">
        <v>0</v>
      </c>
      <c r="C759" s="14" t="s">
        <v>29</v>
      </c>
      <c r="D759" s="15" t="n">
        <v>4868.3669250646</v>
      </c>
      <c r="E759" s="16" t="n">
        <f aca="false">INDEX(Parâmetros!$C$33:$C$37,MATCH(B759,Parâmetros!$A$33:$A$37,0))</f>
        <v>5476.37033462034</v>
      </c>
      <c r="F759" s="7" t="n">
        <f aca="false">MAX(0,(E759-D759)/D759)</f>
        <v>0.12488857535069</v>
      </c>
      <c r="G759" s="7" t="n">
        <f aca="false">MIN(K759*Parâmetros!$B$19,Parâmetros!$B$8)</f>
        <v>0.0625008347283316</v>
      </c>
      <c r="H759" s="3" t="str">
        <f aca="false">IF(F759&gt;=Parâmetros!$B$6,"Ação","Acompanhamento")</f>
        <v>Ação</v>
      </c>
      <c r="I759" s="17" t="n">
        <v>299.904458598726</v>
      </c>
      <c r="J759" s="11" t="n">
        <f aca="false">D759*I759</f>
        <v>1460044.94692144</v>
      </c>
      <c r="K759" s="7" t="n">
        <f aca="false">Parâmetros!$B$4+Parâmetros!$B$5*F759</f>
        <v>0.0512221438376724</v>
      </c>
      <c r="L759" s="11" t="n">
        <f aca="false">D759*(1+G759)</f>
        <v>5172.64392164494</v>
      </c>
      <c r="M759" s="14" t="n">
        <v>0</v>
      </c>
      <c r="N759" s="4" t="n">
        <v>0.918918918918919</v>
      </c>
      <c r="O759" s="3" t="str">
        <f aca="false">IF(AND(B759=4,M759=1),IF(N759&lt;0.8,"Subgrupo 7 dias; fronteira de cluster","Subgrupo 7 dias"),IF(N759&lt;0.8,"Fronteira de cluster",""))</f>
        <v/>
      </c>
    </row>
    <row r="760" customFormat="false" ht="15" hidden="false" customHeight="false" outlineLevel="0" collapsed="false">
      <c r="A760" s="14" t="n">
        <v>759</v>
      </c>
      <c r="B760" s="14" t="n">
        <v>0</v>
      </c>
      <c r="C760" s="14" t="s">
        <v>29</v>
      </c>
      <c r="D760" s="15" t="n">
        <v>7010.13735558408</v>
      </c>
      <c r="E760" s="16" t="n">
        <f aca="false">INDEX(Parâmetros!$C$33:$C$37,MATCH(B760,Parâmetros!$A$33:$A$37,0))</f>
        <v>5476.37033462034</v>
      </c>
      <c r="F760" s="7" t="n">
        <f aca="false">MAX(0,(E760-D760)/D760)</f>
        <v>0</v>
      </c>
      <c r="G760" s="7" t="n">
        <f aca="false">MIN(K760*Parâmetros!$B$19,Parâmetros!$B$8)</f>
        <v>0.0244038339849275</v>
      </c>
      <c r="H760" s="3" t="str">
        <f aca="false">IF(F760&gt;=Parâmetros!$B$6,"Ação","Acompanhamento")</f>
        <v>Acompanhamento</v>
      </c>
      <c r="I760" s="17" t="n">
        <v>301.841825902336</v>
      </c>
      <c r="J760" s="11" t="n">
        <f aca="false">D760*I760</f>
        <v>2115952.65923567</v>
      </c>
      <c r="K760" s="7" t="n">
        <f aca="false">Parâmetros!$B$4+Parâmetros!$B$5*F760</f>
        <v>0.02</v>
      </c>
      <c r="L760" s="11" t="n">
        <f aca="false">D760*(1+G760)</f>
        <v>7181.2115838213</v>
      </c>
      <c r="M760" s="14" t="n">
        <v>0</v>
      </c>
      <c r="N760" s="4" t="n">
        <v>1</v>
      </c>
      <c r="O760" s="3" t="str">
        <f aca="false">IF(AND(B760=4,M760=1),IF(N760&lt;0.8,"Subgrupo 7 dias; fronteira de cluster","Subgrupo 7 dias"),IF(N760&lt;0.8,"Fronteira de cluster",""))</f>
        <v/>
      </c>
    </row>
    <row r="761" customFormat="false" ht="15" hidden="false" customHeight="false" outlineLevel="0" collapsed="false">
      <c r="A761" s="14" t="n">
        <v>760</v>
      </c>
      <c r="B761" s="14" t="n">
        <v>4</v>
      </c>
      <c r="C761" s="14" t="s">
        <v>33</v>
      </c>
      <c r="D761" s="15" t="n">
        <v>7638.36422136422</v>
      </c>
      <c r="E761" s="16" t="n">
        <f aca="false">INDEX(Parâmetros!$C$33:$C$37,MATCH(B761,Parâmetros!$A$33:$A$37,0))</f>
        <v>8837.10512820513</v>
      </c>
      <c r="F761" s="7" t="n">
        <f aca="false">MAX(0,(E761-D761)/D761)</f>
        <v>0.156936861362028</v>
      </c>
      <c r="G761" s="7" t="n">
        <f aca="false">MIN(K761*Parâmetros!$B$19,Parâmetros!$B$8)</f>
        <v>0.0722770978698586</v>
      </c>
      <c r="H761" s="3" t="str">
        <f aca="false">IF(F761&gt;=Parâmetros!$B$6,"Ação","Acompanhamento")</f>
        <v>Ação</v>
      </c>
      <c r="I761" s="17" t="n">
        <v>301.066878980892</v>
      </c>
      <c r="J761" s="11" t="n">
        <f aca="false">D761*I761</f>
        <v>2299658.47664544</v>
      </c>
      <c r="K761" s="7" t="n">
        <f aca="false">Parâmetros!$B$4+Parâmetros!$B$5*F761</f>
        <v>0.0592342153405069</v>
      </c>
      <c r="L761" s="11" t="n">
        <f aca="false">D761*(1+G761)</f>
        <v>8190.44301975739</v>
      </c>
      <c r="M761" s="14" t="n">
        <v>0</v>
      </c>
      <c r="N761" s="4" t="n">
        <v>1</v>
      </c>
      <c r="O761" s="3" t="str">
        <f aca="false">IF(AND(B761=4,M761=1),IF(N761&lt;0.8,"Subgrupo 7 dias; fronteira de cluster","Subgrupo 7 dias"),IF(N761&lt;0.8,"Fronteira de cluster",""))</f>
        <v/>
      </c>
    </row>
    <row r="762" customFormat="false" ht="15" hidden="false" customHeight="false" outlineLevel="0" collapsed="false">
      <c r="A762" s="14" t="n">
        <v>761</v>
      </c>
      <c r="B762" s="14" t="n">
        <v>4</v>
      </c>
      <c r="C762" s="14" t="s">
        <v>33</v>
      </c>
      <c r="D762" s="15" t="n">
        <v>8729.47831632653</v>
      </c>
      <c r="E762" s="16" t="n">
        <f aca="false">INDEX(Parâmetros!$C$33:$C$37,MATCH(B762,Parâmetros!$A$33:$A$37,0))</f>
        <v>8837.10512820513</v>
      </c>
      <c r="F762" s="7" t="n">
        <f aca="false">MAX(0,(E762-D762)/D762)</f>
        <v>0.0123291229989432</v>
      </c>
      <c r="G762" s="7" t="n">
        <f aca="false">MIN(K762*Parâmetros!$B$19,Parâmetros!$B$8)</f>
        <v>0.028164807370502</v>
      </c>
      <c r="H762" s="3" t="str">
        <f aca="false">IF(F762&gt;=Parâmetros!$B$6,"Ação","Acompanhamento")</f>
        <v>Acompanhamento</v>
      </c>
      <c r="I762" s="17" t="n">
        <v>303.779193205945</v>
      </c>
      <c r="J762" s="11" t="n">
        <f aca="false">D762*I762</f>
        <v>2651833.88004246</v>
      </c>
      <c r="K762" s="7" t="n">
        <f aca="false">Parâmetros!$B$4+Parâmetros!$B$5*F762</f>
        <v>0.0230822807497358</v>
      </c>
      <c r="L762" s="11" t="n">
        <f aca="false">D762*(1+G762)</f>
        <v>8975.34239155084</v>
      </c>
      <c r="M762" s="14" t="n">
        <v>0</v>
      </c>
      <c r="N762" s="4" t="n">
        <v>1</v>
      </c>
      <c r="O762" s="3" t="str">
        <f aca="false">IF(AND(B762=4,M762=1),IF(N762&lt;0.8,"Subgrupo 7 dias; fronteira de cluster","Subgrupo 7 dias"),IF(N762&lt;0.8,"Fronteira de cluster",""))</f>
        <v/>
      </c>
    </row>
    <row r="763" customFormat="false" ht="15" hidden="false" customHeight="false" outlineLevel="0" collapsed="false">
      <c r="A763" s="14" t="n">
        <v>762</v>
      </c>
      <c r="B763" s="14" t="n">
        <v>0</v>
      </c>
      <c r="C763" s="14" t="s">
        <v>29</v>
      </c>
      <c r="D763" s="15" t="n">
        <v>3891.99081364829</v>
      </c>
      <c r="E763" s="16" t="n">
        <f aca="false">INDEX(Parâmetros!$C$33:$C$37,MATCH(B763,Parâmetros!$A$33:$A$37,0))</f>
        <v>5476.37033462034</v>
      </c>
      <c r="F763" s="7" t="n">
        <f aca="false">MAX(0,(E763-D763)/D763)</f>
        <v>0.407087168709647</v>
      </c>
      <c r="G763" s="7" t="n">
        <f aca="false">MIN(K763*Parâmetros!$B$19,Parâmetros!$B$8)</f>
        <v>0.148584930017232</v>
      </c>
      <c r="H763" s="3" t="str">
        <f aca="false">IF(F763&gt;=Parâmetros!$B$6,"Ação","Acompanhamento")</f>
        <v>Ação</v>
      </c>
      <c r="I763" s="17" t="n">
        <v>295.642250530786</v>
      </c>
      <c r="J763" s="11" t="n">
        <f aca="false">D763*I763</f>
        <v>1150636.92319213</v>
      </c>
      <c r="K763" s="7" t="n">
        <f aca="false">Parâmetros!$B$4+Parâmetros!$B$5*F763</f>
        <v>0.121771792177412</v>
      </c>
      <c r="L763" s="11" t="n">
        <f aca="false">D763*(1+G763)</f>
        <v>4470.28199632194</v>
      </c>
      <c r="M763" s="14" t="n">
        <v>0</v>
      </c>
      <c r="N763" s="4" t="n">
        <v>0.855263157894737</v>
      </c>
      <c r="O763" s="3" t="str">
        <f aca="false">IF(AND(B763=4,M763=1),IF(N763&lt;0.8,"Subgrupo 7 dias; fronteira de cluster","Subgrupo 7 dias"),IF(N763&lt;0.8,"Fronteira de cluster",""))</f>
        <v/>
      </c>
    </row>
    <row r="764" customFormat="false" ht="15" hidden="false" customHeight="false" outlineLevel="0" collapsed="false">
      <c r="A764" s="14" t="n">
        <v>763</v>
      </c>
      <c r="B764" s="14" t="n">
        <v>1</v>
      </c>
      <c r="C764" s="14" t="s">
        <v>30</v>
      </c>
      <c r="D764" s="15" t="n">
        <v>6125.2512755102</v>
      </c>
      <c r="E764" s="16" t="n">
        <f aca="false">INDEX(Parâmetros!$C$33:$C$37,MATCH(B764,Parâmetros!$A$33:$A$37,0))</f>
        <v>6959.92435130262</v>
      </c>
      <c r="F764" s="7" t="n">
        <f aca="false">MAX(0,(E764-D764)/D764)</f>
        <v>0.136267564912738</v>
      </c>
      <c r="G764" s="7" t="n">
        <f aca="false">MIN(K764*Parâmetros!$B$19,Parâmetros!$B$8)</f>
        <v>0.0659719718806872</v>
      </c>
      <c r="H764" s="3" t="str">
        <f aca="false">IF(F764&gt;=Parâmetros!$B$6,"Ação","Acompanhamento")</f>
        <v>Ação</v>
      </c>
      <c r="I764" s="17" t="n">
        <v>303.779193205945</v>
      </c>
      <c r="J764" s="11" t="n">
        <f aca="false">D764*I764</f>
        <v>1860723.89065817</v>
      </c>
      <c r="K764" s="7" t="n">
        <f aca="false">Parâmetros!$B$4+Parâmetros!$B$5*F764</f>
        <v>0.0540668912281845</v>
      </c>
      <c r="L764" s="11" t="n">
        <f aca="false">D764*(1+G764)</f>
        <v>6529.34618042031</v>
      </c>
      <c r="M764" s="14" t="n">
        <v>0</v>
      </c>
      <c r="N764" s="4" t="n">
        <v>1</v>
      </c>
      <c r="O764" s="3" t="str">
        <f aca="false">IF(AND(B764=4,M764=1),IF(N764&lt;0.8,"Subgrupo 7 dias; fronteira de cluster","Subgrupo 7 dias"),IF(N764&lt;0.8,"Fronteira de cluster",""))</f>
        <v/>
      </c>
    </row>
    <row r="765" customFormat="false" ht="15" hidden="false" customHeight="false" outlineLevel="0" collapsed="false">
      <c r="A765" s="14" t="n">
        <v>764</v>
      </c>
      <c r="B765" s="14" t="n">
        <v>2</v>
      </c>
      <c r="C765" s="14" t="s">
        <v>31</v>
      </c>
      <c r="D765" s="15" t="n">
        <v>3538.98826597132</v>
      </c>
      <c r="E765" s="16" t="n">
        <f aca="false">INDEX(Parâmetros!$C$33:$C$37,MATCH(B765,Parâmetros!$A$33:$A$37,0))</f>
        <v>6324.80102695764</v>
      </c>
      <c r="F765" s="7" t="n">
        <f aca="false">MAX(0,(E765-D765)/D765)</f>
        <v>0.787177733188025</v>
      </c>
      <c r="G765" s="7" t="n">
        <f aca="false">MIN(K765*Parâmetros!$B$19,Parâmetros!$B$8)</f>
        <v>0.2</v>
      </c>
      <c r="H765" s="3" t="str">
        <f aca="false">IF(F765&gt;=Parâmetros!$B$6,"Ação","Acompanhamento")</f>
        <v>Ação</v>
      </c>
      <c r="I765" s="17" t="n">
        <v>297.192144373673</v>
      </c>
      <c r="J765" s="11" t="n">
        <f aca="false">D765*I765</f>
        <v>1051759.51167728</v>
      </c>
      <c r="K765" s="7" t="n">
        <f aca="false">Parâmetros!$B$4+Parâmetros!$B$5*F765</f>
        <v>0.216794433297006</v>
      </c>
      <c r="L765" s="11" t="n">
        <f aca="false">D765*(1+G765)</f>
        <v>4246.78591916558</v>
      </c>
      <c r="M765" s="14" t="n">
        <v>0</v>
      </c>
      <c r="N765" s="4" t="n">
        <v>0.91358024691358</v>
      </c>
      <c r="O765" s="3" t="str">
        <f aca="false">IF(AND(B765=4,M765=1),IF(N765&lt;0.8,"Subgrupo 7 dias; fronteira de cluster","Subgrupo 7 dias"),IF(N765&lt;0.8,"Fronteira de cluster",""))</f>
        <v/>
      </c>
    </row>
    <row r="766" customFormat="false" ht="15" hidden="false" customHeight="false" outlineLevel="0" collapsed="false">
      <c r="A766" s="14" t="n">
        <v>765</v>
      </c>
      <c r="B766" s="14" t="n">
        <v>1</v>
      </c>
      <c r="C766" s="14" t="s">
        <v>30</v>
      </c>
      <c r="D766" s="15" t="n">
        <v>8506.86743886744</v>
      </c>
      <c r="E766" s="16" t="n">
        <f aca="false">INDEX(Parâmetros!$C$33:$C$37,MATCH(B766,Parâmetros!$A$33:$A$37,0))</f>
        <v>6959.92435130262</v>
      </c>
      <c r="F766" s="7" t="n">
        <f aca="false">MAX(0,(E766-D766)/D766)</f>
        <v>0</v>
      </c>
      <c r="G766" s="7" t="n">
        <f aca="false">MIN(K766*Parâmetros!$B$19,Parâmetros!$B$8)</f>
        <v>0.0244038339849275</v>
      </c>
      <c r="H766" s="3" t="str">
        <f aca="false">IF(F766&gt;=Parâmetros!$B$6,"Ação","Acompanhamento")</f>
        <v>Acompanhamento</v>
      </c>
      <c r="I766" s="17" t="n">
        <v>301.066878980892</v>
      </c>
      <c r="J766" s="11" t="n">
        <f aca="false">D766*I766</f>
        <v>2561136.02972399</v>
      </c>
      <c r="K766" s="7" t="n">
        <f aca="false">Parâmetros!$B$4+Parâmetros!$B$5*F766</f>
        <v>0.02</v>
      </c>
      <c r="L766" s="11" t="n">
        <f aca="false">D766*(1+G766)</f>
        <v>8714.46761957735</v>
      </c>
      <c r="M766" s="14" t="n">
        <v>0</v>
      </c>
      <c r="N766" s="4" t="n">
        <v>1</v>
      </c>
      <c r="O766" s="3" t="str">
        <f aca="false">IF(AND(B766=4,M766=1),IF(N766&lt;0.8,"Subgrupo 7 dias; fronteira de cluster","Subgrupo 7 dias"),IF(N766&lt;0.8,"Fronteira de cluster",""))</f>
        <v/>
      </c>
    </row>
    <row r="767" customFormat="false" ht="15" hidden="false" customHeight="false" outlineLevel="0" collapsed="false">
      <c r="A767" s="14" t="n">
        <v>766</v>
      </c>
      <c r="B767" s="14" t="n">
        <v>1</v>
      </c>
      <c r="C767" s="14" t="s">
        <v>30</v>
      </c>
      <c r="D767" s="15" t="n">
        <v>6123.94372990354</v>
      </c>
      <c r="E767" s="16" t="n">
        <f aca="false">INDEX(Parâmetros!$C$33:$C$37,MATCH(B767,Parâmetros!$A$33:$A$37,0))</f>
        <v>6959.92435130262</v>
      </c>
      <c r="F767" s="7" t="n">
        <f aca="false">MAX(0,(E767-D767)/D767)</f>
        <v>0.136510173553187</v>
      </c>
      <c r="G767" s="7" t="n">
        <f aca="false">MIN(K767*Parâmetros!$B$19,Parâmetros!$B$8)</f>
        <v>0.0660459791429976</v>
      </c>
      <c r="H767" s="3" t="str">
        <f aca="false">IF(F767&gt;=Parâmetros!$B$6,"Ação","Acompanhamento")</f>
        <v>Ação</v>
      </c>
      <c r="I767" s="17" t="n">
        <v>299.511873350924</v>
      </c>
      <c r="J767" s="11" t="n">
        <f aca="false">D767*I767</f>
        <v>1834193.85883905</v>
      </c>
      <c r="K767" s="7" t="n">
        <f aca="false">Parâmetros!$B$4+Parâmetros!$B$5*F767</f>
        <v>0.0541275433882968</v>
      </c>
      <c r="L767" s="11" t="n">
        <f aca="false">D767*(1+G767)</f>
        <v>6528.40558976164</v>
      </c>
      <c r="M767" s="14" t="n">
        <v>0</v>
      </c>
      <c r="N767" s="4" t="n">
        <v>1</v>
      </c>
      <c r="O767" s="3" t="str">
        <f aca="false">IF(AND(B767=4,M767=1),IF(N767&lt;0.8,"Subgrupo 7 dias; fronteira de cluster","Subgrupo 7 dias"),IF(N767&lt;0.8,"Fronteira de cluster",""))</f>
        <v/>
      </c>
    </row>
    <row r="768" customFormat="false" ht="15" hidden="false" customHeight="false" outlineLevel="0" collapsed="false">
      <c r="A768" s="14" t="n">
        <v>767</v>
      </c>
      <c r="B768" s="14" t="n">
        <v>3</v>
      </c>
      <c r="C768" s="14" t="s">
        <v>32</v>
      </c>
      <c r="D768" s="15" t="n">
        <v>6023.40306122449</v>
      </c>
      <c r="E768" s="16" t="n">
        <f aca="false">INDEX(Parâmetros!$C$33:$C$37,MATCH(B768,Parâmetros!$A$33:$A$37,0))</f>
        <v>5909.24487179487</v>
      </c>
      <c r="F768" s="7" t="n">
        <f aca="false">MAX(0,(E768-D768)/D768)</f>
        <v>0</v>
      </c>
      <c r="G768" s="7" t="n">
        <f aca="false">MIN(K768*Parâmetros!$B$19,Parâmetros!$B$8)</f>
        <v>0.0244038339849275</v>
      </c>
      <c r="H768" s="3" t="str">
        <f aca="false">IF(F768&gt;=Parâmetros!$B$6,"Ação","Acompanhamento")</f>
        <v>Acompanhamento</v>
      </c>
      <c r="I768" s="17" t="n">
        <v>303.779193205945</v>
      </c>
      <c r="J768" s="11" t="n">
        <f aca="false">D768*I768</f>
        <v>1829784.52229299</v>
      </c>
      <c r="K768" s="7" t="n">
        <f aca="false">Parâmetros!$B$4+Parâmetros!$B$5*F768</f>
        <v>0.02</v>
      </c>
      <c r="L768" s="11" t="n">
        <f aca="false">D768*(1+G768)</f>
        <v>6170.39718955492</v>
      </c>
      <c r="M768" s="14" t="n">
        <v>0</v>
      </c>
      <c r="N768" s="4" t="n">
        <v>1</v>
      </c>
      <c r="O768" s="3" t="str">
        <f aca="false">IF(AND(B768=4,M768=1),IF(N768&lt;0.8,"Subgrupo 7 dias; fronteira de cluster","Subgrupo 7 dias"),IF(N768&lt;0.8,"Fronteira de cluster",""))</f>
        <v/>
      </c>
    </row>
    <row r="769" customFormat="false" ht="15" hidden="false" customHeight="false" outlineLevel="0" collapsed="false">
      <c r="A769" s="14" t="n">
        <v>768</v>
      </c>
      <c r="B769" s="14" t="n">
        <v>4</v>
      </c>
      <c r="C769" s="14" t="s">
        <v>33</v>
      </c>
      <c r="D769" s="15" t="n">
        <v>12991.8380102041</v>
      </c>
      <c r="E769" s="16" t="n">
        <f aca="false">INDEX(Parâmetros!$C$33:$C$37,MATCH(B769,Parâmetros!$A$33:$A$37,0))</f>
        <v>8837.10512820513</v>
      </c>
      <c r="F769" s="7" t="n">
        <f aca="false">MAX(0,(E769-D769)/D769)</f>
        <v>0</v>
      </c>
      <c r="G769" s="7" t="n">
        <f aca="false">MIN(K769*Parâmetros!$B$19,Parâmetros!$B$8)</f>
        <v>0.0244038339849275</v>
      </c>
      <c r="H769" s="3" t="str">
        <f aca="false">IF(F769&gt;=Parâmetros!$B$6,"Ação","Acompanhamento")</f>
        <v>Acompanhamento</v>
      </c>
      <c r="I769" s="17" t="n">
        <v>303.779193205945</v>
      </c>
      <c r="J769" s="11" t="n">
        <f aca="false">D769*I769</f>
        <v>3946650.06900212</v>
      </c>
      <c r="K769" s="7" t="n">
        <f aca="false">Parâmetros!$B$4+Parâmetros!$B$5*F769</f>
        <v>0.02</v>
      </c>
      <c r="L769" s="11" t="n">
        <f aca="false">D769*(1+G769)</f>
        <v>13308.8886681642</v>
      </c>
      <c r="M769" s="14" t="n">
        <v>0</v>
      </c>
      <c r="N769" s="4" t="n">
        <v>0.772151898734177</v>
      </c>
      <c r="O769" s="3" t="str">
        <f aca="false">IF(AND(B769=4,M769=1),IF(N769&lt;0.8,"Subgrupo 7 dias; fronteira de cluster","Subgrupo 7 dias"),IF(N769&lt;0.8,"Fronteira de cluster",""))</f>
        <v>Fronteira de cluster</v>
      </c>
    </row>
    <row r="770" customFormat="false" ht="15" hidden="false" customHeight="false" outlineLevel="0" collapsed="false">
      <c r="A770" s="14" t="n">
        <v>769</v>
      </c>
      <c r="B770" s="14" t="n">
        <v>4</v>
      </c>
      <c r="C770" s="14" t="s">
        <v>33</v>
      </c>
      <c r="D770" s="15" t="n">
        <v>10825.9023354565</v>
      </c>
      <c r="E770" s="16" t="n">
        <f aca="false">INDEX(Parâmetros!$C$33:$C$37,MATCH(B770,Parâmetros!$A$33:$A$37,0))</f>
        <v>8837.10512820513</v>
      </c>
      <c r="F770" s="7" t="n">
        <f aca="false">MAX(0,(E770-D770)/D770)</f>
        <v>0</v>
      </c>
      <c r="G770" s="7" t="n">
        <f aca="false">MIN(K770*Parâmetros!$B$19,Parâmetros!$B$8)</f>
        <v>0.0244038339849275</v>
      </c>
      <c r="H770" s="3" t="str">
        <f aca="false">IF(F770&gt;=Parâmetros!$B$6,"Ação","Acompanhamento")</f>
        <v>Acompanhamento</v>
      </c>
      <c r="I770" s="17" t="n">
        <v>365</v>
      </c>
      <c r="J770" s="11" t="n">
        <f aca="false">D770*I770</f>
        <v>3951454.35244162</v>
      </c>
      <c r="K770" s="7" t="n">
        <f aca="false">Parâmetros!$B$4+Parâmetros!$B$5*F770</f>
        <v>0.02</v>
      </c>
      <c r="L770" s="11" t="n">
        <f aca="false">D770*(1+G770)</f>
        <v>11090.095858788</v>
      </c>
      <c r="M770" s="14" t="n">
        <v>1</v>
      </c>
      <c r="N770" s="4" t="n">
        <v>1</v>
      </c>
      <c r="O770" s="3" t="str">
        <f aca="false">IF(AND(B770=4,M770=1),IF(N770&lt;0.8,"Subgrupo 7 dias; fronteira de cluster","Subgrupo 7 dias"),IF(N770&lt;0.8,"Fronteira de cluster",""))</f>
        <v>Subgrupo 7 dias</v>
      </c>
    </row>
    <row r="771" customFormat="false" ht="15" hidden="false" customHeight="false" outlineLevel="0" collapsed="false">
      <c r="A771" s="14" t="n">
        <v>770</v>
      </c>
      <c r="B771" s="14" t="n">
        <v>0</v>
      </c>
      <c r="C771" s="14" t="s">
        <v>29</v>
      </c>
      <c r="D771" s="15" t="n">
        <v>6477.78818998716</v>
      </c>
      <c r="E771" s="16" t="n">
        <f aca="false">INDEX(Parâmetros!$C$33:$C$37,MATCH(B771,Parâmetros!$A$33:$A$37,0))</f>
        <v>5476.37033462034</v>
      </c>
      <c r="F771" s="7" t="n">
        <f aca="false">MAX(0,(E771-D771)/D771)</f>
        <v>0</v>
      </c>
      <c r="G771" s="7" t="n">
        <f aca="false">MIN(K771*Parâmetros!$B$19,Parâmetros!$B$8)</f>
        <v>0.0244038339849275</v>
      </c>
      <c r="H771" s="3" t="str">
        <f aca="false">IF(F771&gt;=Parâmetros!$B$6,"Ação","Acompanhamento")</f>
        <v>Acompanhamento</v>
      </c>
      <c r="I771" s="17" t="n">
        <v>301.841825902336</v>
      </c>
      <c r="J771" s="11" t="n">
        <f aca="false">D771*I771</f>
        <v>1955267.41507431</v>
      </c>
      <c r="K771" s="7" t="n">
        <f aca="false">Parâmetros!$B$4+Parâmetros!$B$5*F771</f>
        <v>0.02</v>
      </c>
      <c r="L771" s="11" t="n">
        <f aca="false">D771*(1+G771)</f>
        <v>6635.87105756513</v>
      </c>
      <c r="M771" s="14" t="n">
        <v>0</v>
      </c>
      <c r="N771" s="4" t="n">
        <v>0.975</v>
      </c>
      <c r="O771" s="3" t="str">
        <f aca="false">IF(AND(B771=4,M771=1),IF(N771&lt;0.8,"Subgrupo 7 dias; fronteira de cluster","Subgrupo 7 dias"),IF(N771&lt;0.8,"Fronteira de cluster",""))</f>
        <v/>
      </c>
    </row>
    <row r="772" customFormat="false" ht="15" hidden="false" customHeight="false" outlineLevel="0" collapsed="false">
      <c r="A772" s="14" t="n">
        <v>771</v>
      </c>
      <c r="B772" s="14" t="n">
        <v>1</v>
      </c>
      <c r="C772" s="14" t="s">
        <v>30</v>
      </c>
      <c r="D772" s="15" t="n">
        <v>6722.01125401929</v>
      </c>
      <c r="E772" s="16" t="n">
        <f aca="false">INDEX(Parâmetros!$C$33:$C$37,MATCH(B772,Parâmetros!$A$33:$A$37,0))</f>
        <v>6959.92435130262</v>
      </c>
      <c r="F772" s="7" t="n">
        <f aca="false">MAX(0,(E772-D772)/D772)</f>
        <v>0.0353931417685553</v>
      </c>
      <c r="G772" s="7" t="n">
        <f aca="false">MIN(K772*Parâmetros!$B$19,Parâmetros!$B$8)</f>
        <v>0.0352004384339878</v>
      </c>
      <c r="H772" s="3" t="str">
        <f aca="false">IF(F772&gt;=Parâmetros!$B$6,"Ação","Acompanhamento")</f>
        <v>Acompanhamento</v>
      </c>
      <c r="I772" s="17" t="n">
        <v>299.511873350924</v>
      </c>
      <c r="J772" s="11" t="n">
        <f aca="false">D772*I772</f>
        <v>2013322.18337731</v>
      </c>
      <c r="K772" s="7" t="n">
        <f aca="false">Parâmetros!$B$4+Parâmetros!$B$5*F772</f>
        <v>0.0288482854421388</v>
      </c>
      <c r="L772" s="11" t="n">
        <f aca="false">D772*(1+G772)</f>
        <v>6958.62899731897</v>
      </c>
      <c r="M772" s="14" t="n">
        <v>0</v>
      </c>
      <c r="N772" s="4" t="n">
        <v>1</v>
      </c>
      <c r="O772" s="3" t="str">
        <f aca="false">IF(AND(B772=4,M772=1),IF(N772&lt;0.8,"Subgrupo 7 dias; fronteira de cluster","Subgrupo 7 dias"),IF(N772&lt;0.8,"Fronteira de cluster",""))</f>
        <v/>
      </c>
    </row>
    <row r="773" customFormat="false" ht="15" hidden="false" customHeight="false" outlineLevel="0" collapsed="false">
      <c r="A773" s="14" t="n">
        <v>772</v>
      </c>
      <c r="B773" s="14" t="n">
        <v>0</v>
      </c>
      <c r="C773" s="14" t="s">
        <v>29</v>
      </c>
      <c r="D773" s="15" t="n">
        <v>3582.19923371648</v>
      </c>
      <c r="E773" s="16" t="n">
        <f aca="false">INDEX(Parâmetros!$C$33:$C$37,MATCH(B773,Parâmetros!$A$33:$A$37,0))</f>
        <v>5476.37033462034</v>
      </c>
      <c r="F773" s="7" t="n">
        <f aca="false">MAX(0,(E773-D773)/D773)</f>
        <v>0.528773241609649</v>
      </c>
      <c r="G773" s="7" t="n">
        <f aca="false">MIN(K773*Parâmetros!$B$19,Parâmetros!$B$8)</f>
        <v>0.18570501403385</v>
      </c>
      <c r="H773" s="3" t="str">
        <f aca="false">IF(F773&gt;=Parâmetros!$B$6,"Ação","Acompanhamento")</f>
        <v>Ação</v>
      </c>
      <c r="I773" s="17" t="n">
        <v>303.391719745223</v>
      </c>
      <c r="J773" s="11" t="n">
        <f aca="false">D773*I773</f>
        <v>1086809.58598726</v>
      </c>
      <c r="K773" s="7" t="n">
        <f aca="false">Parâmetros!$B$4+Parâmetros!$B$5*F773</f>
        <v>0.152193310402412</v>
      </c>
      <c r="L773" s="11" t="n">
        <f aca="false">D773*(1+G773)</f>
        <v>4247.43159268584</v>
      </c>
      <c r="M773" s="14" t="n">
        <v>0</v>
      </c>
      <c r="N773" s="4" t="n">
        <v>0.914634146341463</v>
      </c>
      <c r="O773" s="3" t="str">
        <f aca="false">IF(AND(B773=4,M773=1),IF(N773&lt;0.8,"Subgrupo 7 dias; fronteira de cluster","Subgrupo 7 dias"),IF(N773&lt;0.8,"Fronteira de cluster",""))</f>
        <v/>
      </c>
    </row>
    <row r="774" customFormat="false" ht="15" hidden="false" customHeight="false" outlineLevel="0" collapsed="false">
      <c r="A774" s="14" t="n">
        <v>773</v>
      </c>
      <c r="B774" s="14" t="n">
        <v>4</v>
      </c>
      <c r="C774" s="14" t="s">
        <v>33</v>
      </c>
      <c r="D774" s="15" t="n">
        <v>5716.10883482715</v>
      </c>
      <c r="E774" s="16" t="n">
        <f aca="false">INDEX(Parâmetros!$C$33:$C$37,MATCH(B774,Parâmetros!$A$33:$A$37,0))</f>
        <v>8837.10512820513</v>
      </c>
      <c r="F774" s="7" t="n">
        <f aca="false">MAX(0,(E774-D774)/D774)</f>
        <v>0.546000152124879</v>
      </c>
      <c r="G774" s="7" t="n">
        <f aca="false">MIN(K774*Parâmetros!$B$19,Parâmetros!$B$8)</f>
        <v>0.190960047337436</v>
      </c>
      <c r="H774" s="3" t="str">
        <f aca="false">IF(F774&gt;=Parâmetros!$B$6,"Ação","Acompanhamento")</f>
        <v>Ação</v>
      </c>
      <c r="I774" s="17" t="n">
        <v>302.616772823779</v>
      </c>
      <c r="J774" s="11" t="n">
        <f aca="false">D774*I774</f>
        <v>1729790.40870488</v>
      </c>
      <c r="K774" s="7" t="n">
        <f aca="false">Parâmetros!$B$4+Parâmetros!$B$5*F774</f>
        <v>0.15650003803122</v>
      </c>
      <c r="L774" s="11" t="n">
        <f aca="false">D774*(1+G774)</f>
        <v>6807.65724851167</v>
      </c>
      <c r="M774" s="14" t="n">
        <v>0</v>
      </c>
      <c r="N774" s="4" t="n">
        <v>0.831325301204819</v>
      </c>
      <c r="O774" s="3" t="str">
        <f aca="false">IF(AND(B774=4,M774=1),IF(N774&lt;0.8,"Subgrupo 7 dias; fronteira de cluster","Subgrupo 7 dias"),IF(N774&lt;0.8,"Fronteira de cluster",""))</f>
        <v/>
      </c>
    </row>
    <row r="775" customFormat="false" ht="15" hidden="false" customHeight="false" outlineLevel="0" collapsed="false">
      <c r="A775" s="14" t="n">
        <v>774</v>
      </c>
      <c r="B775" s="14" t="n">
        <v>4</v>
      </c>
      <c r="C775" s="14" t="s">
        <v>33</v>
      </c>
      <c r="D775" s="15" t="n">
        <v>5493.74362244898</v>
      </c>
      <c r="E775" s="16" t="n">
        <f aca="false">INDEX(Parâmetros!$C$33:$C$37,MATCH(B775,Parâmetros!$A$33:$A$37,0))</f>
        <v>8837.10512820513</v>
      </c>
      <c r="F775" s="7" t="n">
        <f aca="false">MAX(0,(E775-D775)/D775)</f>
        <v>0.608576179655388</v>
      </c>
      <c r="G775" s="7" t="n">
        <f aca="false">MIN(K775*Parâmetros!$B$19,Parâmetros!$B$8)</f>
        <v>0.2</v>
      </c>
      <c r="H775" s="3" t="str">
        <f aca="false">IF(F775&gt;=Parâmetros!$B$6,"Ação","Acompanhamento")</f>
        <v>Ação</v>
      </c>
      <c r="I775" s="17" t="n">
        <v>303.779193205945</v>
      </c>
      <c r="J775" s="11" t="n">
        <f aca="false">D775*I775</f>
        <v>1668885.00530786</v>
      </c>
      <c r="K775" s="7" t="n">
        <f aca="false">Parâmetros!$B$4+Parâmetros!$B$5*F775</f>
        <v>0.172144044913847</v>
      </c>
      <c r="L775" s="11" t="n">
        <f aca="false">D775*(1+G775)</f>
        <v>6592.49234693878</v>
      </c>
      <c r="M775" s="14" t="n">
        <v>0</v>
      </c>
      <c r="N775" s="4" t="n">
        <v>0.592105263157895</v>
      </c>
      <c r="O775" s="3" t="str">
        <f aca="false">IF(AND(B775=4,M775=1),IF(N775&lt;0.8,"Subgrupo 7 dias; fronteira de cluster","Subgrupo 7 dias"),IF(N775&lt;0.8,"Fronteira de cluster",""))</f>
        <v>Fronteira de cluster</v>
      </c>
    </row>
    <row r="776" customFormat="false" ht="15" hidden="false" customHeight="false" outlineLevel="0" collapsed="false">
      <c r="A776" s="14" t="n">
        <v>775</v>
      </c>
      <c r="B776" s="14" t="n">
        <v>1</v>
      </c>
      <c r="C776" s="14" t="s">
        <v>30</v>
      </c>
      <c r="D776" s="15" t="n">
        <v>8690.88906752412</v>
      </c>
      <c r="E776" s="16" t="n">
        <f aca="false">INDEX(Parâmetros!$C$33:$C$37,MATCH(B776,Parâmetros!$A$33:$A$37,0))</f>
        <v>6959.92435130262</v>
      </c>
      <c r="F776" s="7" t="n">
        <f aca="false">MAX(0,(E776-D776)/D776)</f>
        <v>0</v>
      </c>
      <c r="G776" s="7" t="n">
        <f aca="false">MIN(K776*Parâmetros!$B$19,Parâmetros!$B$8)</f>
        <v>0.0244038339849275</v>
      </c>
      <c r="H776" s="3" t="str">
        <f aca="false">IF(F776&gt;=Parâmetros!$B$6,"Ação","Acompanhamento")</f>
        <v>Acompanhamento</v>
      </c>
      <c r="I776" s="17" t="n">
        <v>299.511873350924</v>
      </c>
      <c r="J776" s="11" t="n">
        <f aca="false">D776*I776</f>
        <v>2603024.46569921</v>
      </c>
      <c r="K776" s="7" t="n">
        <f aca="false">Parâmetros!$B$4+Parâmetros!$B$5*F776</f>
        <v>0.02</v>
      </c>
      <c r="L776" s="11" t="n">
        <f aca="false">D776*(1+G776)</f>
        <v>8902.9800815094</v>
      </c>
      <c r="M776" s="14" t="n">
        <v>0</v>
      </c>
      <c r="N776" s="4" t="n">
        <v>1</v>
      </c>
      <c r="O776" s="3" t="str">
        <f aca="false">IF(AND(B776=4,M776=1),IF(N776&lt;0.8,"Subgrupo 7 dias; fronteira de cluster","Subgrupo 7 dias"),IF(N776&lt;0.8,"Fronteira de cluster",""))</f>
        <v/>
      </c>
    </row>
    <row r="777" customFormat="false" ht="15" hidden="false" customHeight="false" outlineLevel="0" collapsed="false">
      <c r="A777" s="14" t="n">
        <v>776</v>
      </c>
      <c r="B777" s="14" t="n">
        <v>0</v>
      </c>
      <c r="C777" s="14" t="s">
        <v>29</v>
      </c>
      <c r="D777" s="15" t="n">
        <v>4804.80670103093</v>
      </c>
      <c r="E777" s="16" t="n">
        <f aca="false">INDEX(Parâmetros!$C$33:$C$37,MATCH(B777,Parâmetros!$A$33:$A$37,0))</f>
        <v>5476.37033462034</v>
      </c>
      <c r="F777" s="7" t="n">
        <f aca="false">MAX(0,(E777-D777)/D777)</f>
        <v>0.139769126080622</v>
      </c>
      <c r="G777" s="7" t="n">
        <f aca="false">MIN(K777*Parâmetros!$B$19,Parâmetros!$B$8)</f>
        <v>0.067040115848551</v>
      </c>
      <c r="H777" s="3" t="str">
        <f aca="false">IF(F777&gt;=Parâmetros!$B$6,"Ação","Acompanhamento")</f>
        <v>Ação</v>
      </c>
      <c r="I777" s="17" t="n">
        <v>300.67940552017</v>
      </c>
      <c r="J777" s="11" t="n">
        <f aca="false">D777*I777</f>
        <v>1444706.42250531</v>
      </c>
      <c r="K777" s="7" t="n">
        <f aca="false">Parâmetros!$B$4+Parâmetros!$B$5*F777</f>
        <v>0.0549422815201554</v>
      </c>
      <c r="L777" s="11" t="n">
        <f aca="false">D777*(1+G777)</f>
        <v>5126.92149889794</v>
      </c>
      <c r="M777" s="14" t="n">
        <v>0</v>
      </c>
      <c r="N777" s="4" t="n">
        <v>1</v>
      </c>
      <c r="O777" s="3" t="str">
        <f aca="false">IF(AND(B777=4,M777=1),IF(N777&lt;0.8,"Subgrupo 7 dias; fronteira de cluster","Subgrupo 7 dias"),IF(N777&lt;0.8,"Fronteira de cluster",""))</f>
        <v/>
      </c>
    </row>
    <row r="778" customFormat="false" ht="15" hidden="false" customHeight="false" outlineLevel="0" collapsed="false">
      <c r="A778" s="14" t="n">
        <v>777</v>
      </c>
      <c r="B778" s="14" t="n">
        <v>1</v>
      </c>
      <c r="C778" s="14" t="s">
        <v>30</v>
      </c>
      <c r="D778" s="15" t="n">
        <v>3991.35044929397</v>
      </c>
      <c r="E778" s="16" t="n">
        <f aca="false">INDEX(Parâmetros!$C$33:$C$37,MATCH(B778,Parâmetros!$A$33:$A$37,0))</f>
        <v>6959.92435130262</v>
      </c>
      <c r="F778" s="7" t="n">
        <f aca="false">MAX(0,(E778-D778)/D778)</f>
        <v>0.743751755131842</v>
      </c>
      <c r="G778" s="7" t="n">
        <f aca="false">MIN(K778*Parâmetros!$B$19,Parâmetros!$B$8)</f>
        <v>0.2</v>
      </c>
      <c r="H778" s="3" t="str">
        <f aca="false">IF(F778&gt;=Parâmetros!$B$6,"Ação","Acompanhamento")</f>
        <v>Ação</v>
      </c>
      <c r="I778" s="17" t="n">
        <v>301.841825902336</v>
      </c>
      <c r="J778" s="11" t="n">
        <f aca="false">D778*I778</f>
        <v>1204756.507431</v>
      </c>
      <c r="K778" s="7" t="n">
        <f aca="false">Parâmetros!$B$4+Parâmetros!$B$5*F778</f>
        <v>0.205937938782961</v>
      </c>
      <c r="L778" s="11" t="n">
        <f aca="false">D778*(1+G778)</f>
        <v>4789.62053915276</v>
      </c>
      <c r="M778" s="14" t="n">
        <v>0</v>
      </c>
      <c r="N778" s="4" t="n">
        <v>0.985915492957746</v>
      </c>
      <c r="O778" s="3" t="str">
        <f aca="false">IF(AND(B778=4,M778=1),IF(N778&lt;0.8,"Subgrupo 7 dias; fronteira de cluster","Subgrupo 7 dias"),IF(N778&lt;0.8,"Fronteira de cluster",""))</f>
        <v/>
      </c>
    </row>
    <row r="779" customFormat="false" ht="15" hidden="false" customHeight="false" outlineLevel="0" collapsed="false">
      <c r="A779" s="14" t="n">
        <v>778</v>
      </c>
      <c r="B779" s="14" t="n">
        <v>0</v>
      </c>
      <c r="C779" s="14" t="s">
        <v>29</v>
      </c>
      <c r="D779" s="15" t="n">
        <v>5901.25723472669</v>
      </c>
      <c r="E779" s="16" t="n">
        <f aca="false">INDEX(Parâmetros!$C$33:$C$37,MATCH(B779,Parâmetros!$A$33:$A$37,0))</f>
        <v>5476.37033462034</v>
      </c>
      <c r="F779" s="7" t="n">
        <f aca="false">MAX(0,(E779-D779)/D779)</f>
        <v>0</v>
      </c>
      <c r="G779" s="7" t="n">
        <f aca="false">MIN(K779*Parâmetros!$B$19,Parâmetros!$B$8)</f>
        <v>0.0244038339849275</v>
      </c>
      <c r="H779" s="3" t="str">
        <f aca="false">IF(F779&gt;=Parâmetros!$B$6,"Ação","Acompanhamento")</f>
        <v>Acompanhamento</v>
      </c>
      <c r="I779" s="17" t="n">
        <v>299.511873350924</v>
      </c>
      <c r="J779" s="11" t="n">
        <f aca="false">D779*I779</f>
        <v>1767496.60949868</v>
      </c>
      <c r="K779" s="7" t="n">
        <f aca="false">Parâmetros!$B$4+Parâmetros!$B$5*F779</f>
        <v>0.02</v>
      </c>
      <c r="L779" s="11" t="n">
        <f aca="false">D779*(1+G779)</f>
        <v>6045.27053658531</v>
      </c>
      <c r="M779" s="14" t="n">
        <v>0</v>
      </c>
      <c r="N779" s="4" t="n">
        <v>1</v>
      </c>
      <c r="O779" s="3" t="str">
        <f aca="false">IF(AND(B779=4,M779=1),IF(N779&lt;0.8,"Subgrupo 7 dias; fronteira de cluster","Subgrupo 7 dias"),IF(N779&lt;0.8,"Fronteira de cluster",""))</f>
        <v/>
      </c>
    </row>
    <row r="780" customFormat="false" ht="15" hidden="false" customHeight="false" outlineLevel="0" collapsed="false">
      <c r="A780" s="14" t="n">
        <v>779</v>
      </c>
      <c r="B780" s="14" t="n">
        <v>3</v>
      </c>
      <c r="C780" s="14" t="s">
        <v>32</v>
      </c>
      <c r="D780" s="15" t="n">
        <v>7128.5217948718</v>
      </c>
      <c r="E780" s="16" t="n">
        <f aca="false">INDEX(Parâmetros!$C$33:$C$37,MATCH(B780,Parâmetros!$A$33:$A$37,0))</f>
        <v>5909.24487179487</v>
      </c>
      <c r="F780" s="7" t="n">
        <f aca="false">MAX(0,(E780-D780)/D780)</f>
        <v>0</v>
      </c>
      <c r="G780" s="7" t="n">
        <f aca="false">MIN(K780*Parâmetros!$B$19,Parâmetros!$B$8)</f>
        <v>0.0244038339849275</v>
      </c>
      <c r="H780" s="3" t="str">
        <f aca="false">IF(F780&gt;=Parâmetros!$B$6,"Ação","Acompanhamento")</f>
        <v>Acompanhamento</v>
      </c>
      <c r="I780" s="17" t="n">
        <v>302.229299363057</v>
      </c>
      <c r="J780" s="11" t="n">
        <f aca="false">D780*I780</f>
        <v>2154448.14755839</v>
      </c>
      <c r="K780" s="7" t="n">
        <f aca="false">Parâmetros!$B$4+Parâmetros!$B$5*F780</f>
        <v>0.02</v>
      </c>
      <c r="L780" s="11" t="n">
        <f aca="false">D780*(1+G780)</f>
        <v>7302.48505731178</v>
      </c>
      <c r="M780" s="14" t="n">
        <v>0</v>
      </c>
      <c r="N780" s="4" t="n">
        <v>1</v>
      </c>
      <c r="O780" s="3" t="str">
        <f aca="false">IF(AND(B780=4,M780=1),IF(N780&lt;0.8,"Subgrupo 7 dias; fronteira de cluster","Subgrupo 7 dias"),IF(N780&lt;0.8,"Fronteira de cluster",""))</f>
        <v/>
      </c>
    </row>
    <row r="781" customFormat="false" ht="15" hidden="false" customHeight="false" outlineLevel="0" collapsed="false">
      <c r="A781" s="14" t="n">
        <v>780</v>
      </c>
      <c r="B781" s="14" t="n">
        <v>3</v>
      </c>
      <c r="C781" s="14" t="s">
        <v>32</v>
      </c>
      <c r="D781" s="15" t="n">
        <v>6547.18846153846</v>
      </c>
      <c r="E781" s="16" t="n">
        <f aca="false">INDEX(Parâmetros!$C$33:$C$37,MATCH(B781,Parâmetros!$A$33:$A$37,0))</f>
        <v>5909.24487179487</v>
      </c>
      <c r="F781" s="7" t="n">
        <f aca="false">MAX(0,(E781-D781)/D781)</f>
        <v>0</v>
      </c>
      <c r="G781" s="7" t="n">
        <f aca="false">MIN(K781*Parâmetros!$B$19,Parâmetros!$B$8)</f>
        <v>0.0244038339849275</v>
      </c>
      <c r="H781" s="3" t="str">
        <f aca="false">IF(F781&gt;=Parâmetros!$B$6,"Ação","Acompanhamento")</f>
        <v>Acompanhamento</v>
      </c>
      <c r="I781" s="17" t="n">
        <v>302.229299363057</v>
      </c>
      <c r="J781" s="11" t="n">
        <f aca="false">D781*I781</f>
        <v>1978752.18152866</v>
      </c>
      <c r="K781" s="7" t="n">
        <f aca="false">Parâmetros!$B$4+Parâmetros!$B$5*F781</f>
        <v>0.02</v>
      </c>
      <c r="L781" s="11" t="n">
        <f aca="false">D781*(1+G781)</f>
        <v>6706.96496182188</v>
      </c>
      <c r="M781" s="14" t="n">
        <v>0</v>
      </c>
      <c r="N781" s="4" t="n">
        <v>1</v>
      </c>
      <c r="O781" s="3" t="str">
        <f aca="false">IF(AND(B781=4,M781=1),IF(N781&lt;0.8,"Subgrupo 7 dias; fronteira de cluster","Subgrupo 7 dias"),IF(N781&lt;0.8,"Fronteira de cluster",""))</f>
        <v/>
      </c>
    </row>
    <row r="782" customFormat="false" ht="15" hidden="false" customHeight="false" outlineLevel="0" collapsed="false">
      <c r="A782" s="14" t="n">
        <v>781</v>
      </c>
      <c r="B782" s="14" t="n">
        <v>3</v>
      </c>
      <c r="C782" s="14" t="s">
        <v>32</v>
      </c>
      <c r="D782" s="15" t="n">
        <v>4922.44230769231</v>
      </c>
      <c r="E782" s="16" t="n">
        <f aca="false">INDEX(Parâmetros!$C$33:$C$37,MATCH(B782,Parâmetros!$A$33:$A$37,0))</f>
        <v>5909.24487179487</v>
      </c>
      <c r="F782" s="7" t="n">
        <f aca="false">MAX(0,(E782-D782)/D782)</f>
        <v>0.200470112683797</v>
      </c>
      <c r="G782" s="7" t="n">
        <f aca="false">MIN(K782*Parâmetros!$B$19,Parâmetros!$B$8)</f>
        <v>0.0855568258458658</v>
      </c>
      <c r="H782" s="3" t="str">
        <f aca="false">IF(F782&gt;=Parâmetros!$B$6,"Ação","Acompanhamento")</f>
        <v>Ação</v>
      </c>
      <c r="I782" s="17" t="n">
        <v>302.229299363057</v>
      </c>
      <c r="J782" s="11" t="n">
        <f aca="false">D782*I782</f>
        <v>1487706.28980892</v>
      </c>
      <c r="K782" s="7" t="n">
        <f aca="false">Parâmetros!$B$4+Parâmetros!$B$5*F782</f>
        <v>0.0701175281709491</v>
      </c>
      <c r="L782" s="11" t="n">
        <f aca="false">D782*(1+G782)</f>
        <v>5343.59084694786</v>
      </c>
      <c r="M782" s="14" t="n">
        <v>0</v>
      </c>
      <c r="N782" s="4" t="n">
        <v>0.767441860465116</v>
      </c>
      <c r="O782" s="3" t="str">
        <f aca="false">IF(AND(B782=4,M782=1),IF(N782&lt;0.8,"Subgrupo 7 dias; fronteira de cluster","Subgrupo 7 dias"),IF(N782&lt;0.8,"Fronteira de cluster",""))</f>
        <v>Fronteira de cluster</v>
      </c>
    </row>
    <row r="783" customFormat="false" ht="15" hidden="false" customHeight="false" outlineLevel="0" collapsed="false">
      <c r="A783" s="14" t="n">
        <v>782</v>
      </c>
      <c r="B783" s="14" t="n">
        <v>1</v>
      </c>
      <c r="C783" s="14" t="s">
        <v>30</v>
      </c>
      <c r="D783" s="15" t="n">
        <v>5488.79974326059</v>
      </c>
      <c r="E783" s="16" t="n">
        <f aca="false">INDEX(Parâmetros!$C$33:$C$37,MATCH(B783,Parâmetros!$A$33:$A$37,0))</f>
        <v>6959.92435130262</v>
      </c>
      <c r="F783" s="7" t="n">
        <f aca="false">MAX(0,(E783-D783)/D783)</f>
        <v>0.268023006277164</v>
      </c>
      <c r="G783" s="7" t="n">
        <f aca="false">MIN(K783*Parâmetros!$B$19,Parâmetros!$B$8)</f>
        <v>0.106163695851541</v>
      </c>
      <c r="H783" s="3" t="str">
        <f aca="false">IF(F783&gt;=Parâmetros!$B$6,"Ação","Acompanhamento")</f>
        <v>Ação</v>
      </c>
      <c r="I783" s="17" t="n">
        <v>301.841825902336</v>
      </c>
      <c r="J783" s="11" t="n">
        <f aca="false">D783*I783</f>
        <v>1656749.33651805</v>
      </c>
      <c r="K783" s="7" t="n">
        <f aca="false">Parâmetros!$B$4+Parâmetros!$B$5*F783</f>
        <v>0.0870057515692911</v>
      </c>
      <c r="L783" s="11" t="n">
        <f aca="false">D783*(1+G783)</f>
        <v>6071.51100979413</v>
      </c>
      <c r="M783" s="14" t="n">
        <v>0</v>
      </c>
      <c r="N783" s="4" t="n">
        <v>1</v>
      </c>
      <c r="O783" s="3" t="str">
        <f aca="false">IF(AND(B783=4,M783=1),IF(N783&lt;0.8,"Subgrupo 7 dias; fronteira de cluster","Subgrupo 7 dias"),IF(N783&lt;0.8,"Fronteira de cluster",""))</f>
        <v/>
      </c>
    </row>
    <row r="784" customFormat="false" ht="15" hidden="false" customHeight="false" outlineLevel="0" collapsed="false">
      <c r="A784" s="14" t="n">
        <v>783</v>
      </c>
      <c r="B784" s="14" t="n">
        <v>1</v>
      </c>
      <c r="C784" s="14" t="s">
        <v>30</v>
      </c>
      <c r="D784" s="15" t="n">
        <v>6860.18542199489</v>
      </c>
      <c r="E784" s="16" t="n">
        <f aca="false">INDEX(Parâmetros!$C$33:$C$37,MATCH(B784,Parâmetros!$A$33:$A$37,0))</f>
        <v>6959.92435130262</v>
      </c>
      <c r="F784" s="7" t="n">
        <f aca="false">MAX(0,(E784-D784)/D784)</f>
        <v>0.014538809547036</v>
      </c>
      <c r="G784" s="7" t="n">
        <f aca="false">MIN(K784*Parâmetros!$B$19,Parâmetros!$B$8)</f>
        <v>0.0288388676664818</v>
      </c>
      <c r="H784" s="3" t="str">
        <f aca="false">IF(F784&gt;=Parâmetros!$B$6,"Ação","Acompanhamento")</f>
        <v>Acompanhamento</v>
      </c>
      <c r="I784" s="17" t="n">
        <v>303.004246284501</v>
      </c>
      <c r="J784" s="11" t="n">
        <f aca="false">D784*I784</f>
        <v>2078665.31316348</v>
      </c>
      <c r="K784" s="7" t="n">
        <f aca="false">Parâmetros!$B$4+Parâmetros!$B$5*F784</f>
        <v>0.023634702386759</v>
      </c>
      <c r="L784" s="11" t="n">
        <f aca="false">D784*(1+G784)</f>
        <v>7058.02540154732</v>
      </c>
      <c r="M784" s="14" t="n">
        <v>0</v>
      </c>
      <c r="N784" s="4" t="n">
        <v>1</v>
      </c>
      <c r="O784" s="3" t="str">
        <f aca="false">IF(AND(B784=4,M784=1),IF(N784&lt;0.8,"Subgrupo 7 dias; fronteira de cluster","Subgrupo 7 dias"),IF(N784&lt;0.8,"Fronteira de cluster",""))</f>
        <v/>
      </c>
    </row>
    <row r="785" customFormat="false" ht="15" hidden="false" customHeight="false" outlineLevel="0" collapsed="false">
      <c r="A785" s="14" t="n">
        <v>784</v>
      </c>
      <c r="B785" s="14" t="n">
        <v>0</v>
      </c>
      <c r="C785" s="14" t="s">
        <v>29</v>
      </c>
      <c r="D785" s="15" t="n">
        <v>7751.30937098845</v>
      </c>
      <c r="E785" s="16" t="n">
        <f aca="false">INDEX(Parâmetros!$C$33:$C$37,MATCH(B785,Parâmetros!$A$33:$A$37,0))</f>
        <v>5476.37033462034</v>
      </c>
      <c r="F785" s="7" t="n">
        <f aca="false">MAX(0,(E785-D785)/D785)</f>
        <v>0</v>
      </c>
      <c r="G785" s="7" t="n">
        <f aca="false">MIN(K785*Parâmetros!$B$19,Parâmetros!$B$8)</f>
        <v>0.0244038339849275</v>
      </c>
      <c r="H785" s="3" t="str">
        <f aca="false">IF(F785&gt;=Parâmetros!$B$6,"Ação","Acompanhamento")</f>
        <v>Acompanhamento</v>
      </c>
      <c r="I785" s="17" t="n">
        <v>301.841825902336</v>
      </c>
      <c r="J785" s="11" t="n">
        <f aca="false">D785*I785</f>
        <v>2339669.37367304</v>
      </c>
      <c r="K785" s="7" t="n">
        <f aca="false">Parâmetros!$B$4+Parâmetros!$B$5*F785</f>
        <v>0.02</v>
      </c>
      <c r="L785" s="11" t="n">
        <f aca="false">D785*(1+G785)</f>
        <v>7940.47103804386</v>
      </c>
      <c r="M785" s="14" t="n">
        <v>0</v>
      </c>
      <c r="N785" s="4" t="n">
        <v>0.988636363636364</v>
      </c>
      <c r="O785" s="3" t="str">
        <f aca="false">IF(AND(B785=4,M785=1),IF(N785&lt;0.8,"Subgrupo 7 dias; fronteira de cluster","Subgrupo 7 dias"),IF(N785&lt;0.8,"Fronteira de cluster",""))</f>
        <v/>
      </c>
    </row>
    <row r="786" customFormat="false" ht="15" hidden="false" customHeight="false" outlineLevel="0" collapsed="false">
      <c r="A786" s="14" t="n">
        <v>785</v>
      </c>
      <c r="B786" s="14" t="n">
        <v>1</v>
      </c>
      <c r="C786" s="14" t="s">
        <v>30</v>
      </c>
      <c r="D786" s="15" t="n">
        <v>6511.51861360719</v>
      </c>
      <c r="E786" s="16" t="n">
        <f aca="false">INDEX(Parâmetros!$C$33:$C$37,MATCH(B786,Parâmetros!$A$33:$A$37,0))</f>
        <v>6959.92435130262</v>
      </c>
      <c r="F786" s="7" t="n">
        <f aca="false">MAX(0,(E786-D786)/D786)</f>
        <v>0.0688634655452561</v>
      </c>
      <c r="G786" s="7" t="n">
        <f aca="false">MIN(K786*Parâmetros!$B$19,Parâmetros!$B$8)</f>
        <v>0.0454104912448425</v>
      </c>
      <c r="H786" s="3" t="str">
        <f aca="false">IF(F786&gt;=Parâmetros!$B$6,"Ação","Acompanhamento")</f>
        <v>Acompanhamento</v>
      </c>
      <c r="I786" s="17" t="n">
        <v>301.841825902336</v>
      </c>
      <c r="J786" s="11" t="n">
        <f aca="false">D786*I786</f>
        <v>1965448.66772824</v>
      </c>
      <c r="K786" s="7" t="n">
        <f aca="false">Parâmetros!$B$4+Parâmetros!$B$5*F786</f>
        <v>0.037215866386314</v>
      </c>
      <c r="L786" s="11" t="n">
        <f aca="false">D786*(1+G786)</f>
        <v>6807.20987260103</v>
      </c>
      <c r="M786" s="14" t="n">
        <v>0</v>
      </c>
      <c r="N786" s="4" t="n">
        <v>1</v>
      </c>
      <c r="O786" s="3" t="str">
        <f aca="false">IF(AND(B786=4,M786=1),IF(N786&lt;0.8,"Subgrupo 7 dias; fronteira de cluster","Subgrupo 7 dias"),IF(N786&lt;0.8,"Fronteira de cluster",""))</f>
        <v/>
      </c>
    </row>
    <row r="787" customFormat="false" ht="15" hidden="false" customHeight="false" outlineLevel="0" collapsed="false">
      <c r="A787" s="14" t="n">
        <v>786</v>
      </c>
      <c r="B787" s="14" t="n">
        <v>3</v>
      </c>
      <c r="C787" s="14" t="s">
        <v>32</v>
      </c>
      <c r="D787" s="15" t="n">
        <v>3563.67435897436</v>
      </c>
      <c r="E787" s="16" t="n">
        <f aca="false">INDEX(Parâmetros!$C$33:$C$37,MATCH(B787,Parâmetros!$A$33:$A$37,0))</f>
        <v>5909.24487179487</v>
      </c>
      <c r="F787" s="7" t="n">
        <f aca="false">MAX(0,(E787-D787)/D787)</f>
        <v>0.658188789588389</v>
      </c>
      <c r="G787" s="7" t="n">
        <f aca="false">MIN(K787*Parâmetros!$B$19,Parâmetros!$B$8)</f>
        <v>0.2</v>
      </c>
      <c r="H787" s="3" t="str">
        <f aca="false">IF(F787&gt;=Parâmetros!$B$6,"Ação","Acompanhamento")</f>
        <v>Ação</v>
      </c>
      <c r="I787" s="17" t="n">
        <v>302.229299363057</v>
      </c>
      <c r="J787" s="11" t="n">
        <f aca="false">D787*I787</f>
        <v>1077046.80467091</v>
      </c>
      <c r="K787" s="7" t="n">
        <f aca="false">Parâmetros!$B$4+Parâmetros!$B$5*F787</f>
        <v>0.184547197397097</v>
      </c>
      <c r="L787" s="11" t="n">
        <f aca="false">D787*(1+G787)</f>
        <v>4276.40923076923</v>
      </c>
      <c r="M787" s="14" t="n">
        <v>0</v>
      </c>
      <c r="N787" s="4" t="n">
        <v>0.770114942528736</v>
      </c>
      <c r="O787" s="3" t="str">
        <f aca="false">IF(AND(B787=4,M787=1),IF(N787&lt;0.8,"Subgrupo 7 dias; fronteira de cluster","Subgrupo 7 dias"),IF(N787&lt;0.8,"Fronteira de cluster",""))</f>
        <v>Fronteira de cluster</v>
      </c>
    </row>
    <row r="788" customFormat="false" ht="15" hidden="false" customHeight="false" outlineLevel="0" collapsed="false">
      <c r="A788" s="14" t="n">
        <v>787</v>
      </c>
      <c r="B788" s="14" t="n">
        <v>1</v>
      </c>
      <c r="C788" s="14" t="s">
        <v>30</v>
      </c>
      <c r="D788" s="15" t="n">
        <v>10227.1474358974</v>
      </c>
      <c r="E788" s="16" t="n">
        <f aca="false">INDEX(Parâmetros!$C$33:$C$37,MATCH(B788,Parâmetros!$A$33:$A$37,0))</f>
        <v>6959.92435130262</v>
      </c>
      <c r="F788" s="7" t="n">
        <f aca="false">MAX(0,(E788-D788)/D788)</f>
        <v>0</v>
      </c>
      <c r="G788" s="7" t="n">
        <f aca="false">MIN(K788*Parâmetros!$B$19,Parâmetros!$B$8)</f>
        <v>0.0244038339849275</v>
      </c>
      <c r="H788" s="3" t="str">
        <f aca="false">IF(F788&gt;=Parâmetros!$B$6,"Ação","Acompanhamento")</f>
        <v>Acompanhamento</v>
      </c>
      <c r="I788" s="17" t="n">
        <v>302.229299363057</v>
      </c>
      <c r="J788" s="11" t="n">
        <f aca="false">D788*I788</f>
        <v>3090943.60403397</v>
      </c>
      <c r="K788" s="7" t="n">
        <f aca="false">Parâmetros!$B$4+Parâmetros!$B$5*F788</f>
        <v>0.02</v>
      </c>
      <c r="L788" s="11" t="n">
        <f aca="false">D788*(1+G788)</f>
        <v>10476.7290440625</v>
      </c>
      <c r="M788" s="14" t="n">
        <v>0</v>
      </c>
      <c r="N788" s="4" t="n">
        <v>0.987654320987654</v>
      </c>
      <c r="O788" s="3" t="str">
        <f aca="false">IF(AND(B788=4,M788=1),IF(N788&lt;0.8,"Subgrupo 7 dias; fronteira de cluster","Subgrupo 7 dias"),IF(N788&lt;0.8,"Fronteira de cluster",""))</f>
        <v/>
      </c>
    </row>
    <row r="789" customFormat="false" ht="15" hidden="false" customHeight="false" outlineLevel="0" collapsed="false">
      <c r="A789" s="14" t="n">
        <v>788</v>
      </c>
      <c r="B789" s="14" t="n">
        <v>4</v>
      </c>
      <c r="C789" s="14" t="s">
        <v>33</v>
      </c>
      <c r="D789" s="15" t="n">
        <v>17961.9145408163</v>
      </c>
      <c r="E789" s="16" t="n">
        <f aca="false">INDEX(Parâmetros!$C$33:$C$37,MATCH(B789,Parâmetros!$A$33:$A$37,0))</f>
        <v>8837.10512820513</v>
      </c>
      <c r="F789" s="7" t="n">
        <f aca="false">MAX(0,(E789-D789)/D789)</f>
        <v>0</v>
      </c>
      <c r="G789" s="7" t="n">
        <f aca="false">MIN(K789*Parâmetros!$B$19,Parâmetros!$B$8)</f>
        <v>0.0244038339849275</v>
      </c>
      <c r="H789" s="3" t="str">
        <f aca="false">IF(F789&gt;=Parâmetros!$B$6,"Ação","Acompanhamento")</f>
        <v>Acompanhamento</v>
      </c>
      <c r="I789" s="17" t="n">
        <v>303.779193205945</v>
      </c>
      <c r="J789" s="11" t="n">
        <f aca="false">D789*I789</f>
        <v>5456455.90764331</v>
      </c>
      <c r="K789" s="7" t="n">
        <f aca="false">Parâmetros!$B$4+Parâmetros!$B$5*F789</f>
        <v>0.02</v>
      </c>
      <c r="L789" s="11" t="n">
        <f aca="false">D789*(1+G789)</f>
        <v>18400.2541213219</v>
      </c>
      <c r="M789" s="14" t="n">
        <v>0</v>
      </c>
      <c r="N789" s="4" t="n">
        <v>1</v>
      </c>
      <c r="O789" s="3" t="str">
        <f aca="false">IF(AND(B789=4,M789=1),IF(N789&lt;0.8,"Subgrupo 7 dias; fronteira de cluster","Subgrupo 7 dias"),IF(N789&lt;0.8,"Fronteira de cluster",""))</f>
        <v/>
      </c>
    </row>
    <row r="790" customFormat="false" ht="15" hidden="false" customHeight="false" outlineLevel="0" collapsed="false">
      <c r="A790" s="14" t="n">
        <v>789</v>
      </c>
      <c r="B790" s="14" t="n">
        <v>0</v>
      </c>
      <c r="C790" s="14" t="s">
        <v>29</v>
      </c>
      <c r="D790" s="15" t="n">
        <v>3380.01158301158</v>
      </c>
      <c r="E790" s="16" t="n">
        <f aca="false">INDEX(Parâmetros!$C$33:$C$37,MATCH(B790,Parâmetros!$A$33:$A$37,0))</f>
        <v>5476.37033462034</v>
      </c>
      <c r="F790" s="7" t="n">
        <f aca="false">MAX(0,(E790-D790)/D790)</f>
        <v>0.620222357268048</v>
      </c>
      <c r="G790" s="7" t="n">
        <f aca="false">MIN(K790*Parâmetros!$B$19,Parâmetros!$B$8)</f>
        <v>0.2</v>
      </c>
      <c r="H790" s="3" t="str">
        <f aca="false">IF(F790&gt;=Parâmetros!$B$6,"Ação","Acompanhamento")</f>
        <v>Ação</v>
      </c>
      <c r="I790" s="17" t="n">
        <v>301.066878980892</v>
      </c>
      <c r="J790" s="11" t="n">
        <f aca="false">D790*I790</f>
        <v>1017609.53821656</v>
      </c>
      <c r="K790" s="7" t="n">
        <f aca="false">Parâmetros!$B$4+Parâmetros!$B$5*F790</f>
        <v>0.175055589317012</v>
      </c>
      <c r="L790" s="11" t="n">
        <f aca="false">D790*(1+G790)</f>
        <v>4056.0138996139</v>
      </c>
      <c r="M790" s="14" t="n">
        <v>0</v>
      </c>
      <c r="N790" s="4" t="n">
        <v>0.662790697674419</v>
      </c>
      <c r="O790" s="3" t="str">
        <f aca="false">IF(AND(B790=4,M790=1),IF(N790&lt;0.8,"Subgrupo 7 dias; fronteira de cluster","Subgrupo 7 dias"),IF(N790&lt;0.8,"Fronteira de cluster",""))</f>
        <v>Fronteira de cluster</v>
      </c>
    </row>
    <row r="791" customFormat="false" ht="15" hidden="false" customHeight="false" outlineLevel="0" collapsed="false">
      <c r="A791" s="14" t="n">
        <v>790</v>
      </c>
      <c r="B791" s="14" t="n">
        <v>1</v>
      </c>
      <c r="C791" s="14" t="s">
        <v>30</v>
      </c>
      <c r="D791" s="15" t="n">
        <v>7453.02176696543</v>
      </c>
      <c r="E791" s="16" t="n">
        <f aca="false">INDEX(Parâmetros!$C$33:$C$37,MATCH(B791,Parâmetros!$A$33:$A$37,0))</f>
        <v>6959.92435130262</v>
      </c>
      <c r="F791" s="7" t="n">
        <f aca="false">MAX(0,(E791-D791)/D791)</f>
        <v>0</v>
      </c>
      <c r="G791" s="7" t="n">
        <f aca="false">MIN(K791*Parâmetros!$B$19,Parâmetros!$B$8)</f>
        <v>0.0244038339849275</v>
      </c>
      <c r="H791" s="3" t="str">
        <f aca="false">IF(F791&gt;=Parâmetros!$B$6,"Ação","Acompanhamento")</f>
        <v>Acompanhamento</v>
      </c>
      <c r="I791" s="17" t="n">
        <v>302.616772823779</v>
      </c>
      <c r="J791" s="11" t="n">
        <f aca="false">D791*I791</f>
        <v>2255409.39490446</v>
      </c>
      <c r="K791" s="7" t="n">
        <f aca="false">Parâmetros!$B$4+Parâmetros!$B$5*F791</f>
        <v>0.02</v>
      </c>
      <c r="L791" s="11" t="n">
        <f aca="false">D791*(1+G791)</f>
        <v>7634.90407285251</v>
      </c>
      <c r="M791" s="14" t="n">
        <v>0</v>
      </c>
      <c r="N791" s="4" t="n">
        <v>1</v>
      </c>
      <c r="O791" s="3" t="str">
        <f aca="false">IF(AND(B791=4,M791=1),IF(N791&lt;0.8,"Subgrupo 7 dias; fronteira de cluster","Subgrupo 7 dias"),IF(N791&lt;0.8,"Fronteira de cluster",""))</f>
        <v/>
      </c>
    </row>
    <row r="792" customFormat="false" ht="15" hidden="false" customHeight="false" outlineLevel="0" collapsed="false">
      <c r="A792" s="14" t="n">
        <v>791</v>
      </c>
      <c r="B792" s="14" t="n">
        <v>1</v>
      </c>
      <c r="C792" s="14" t="s">
        <v>30</v>
      </c>
      <c r="D792" s="15" t="n">
        <v>7668.77663671374</v>
      </c>
      <c r="E792" s="16" t="n">
        <f aca="false">INDEX(Parâmetros!$C$33:$C$37,MATCH(B792,Parâmetros!$A$33:$A$37,0))</f>
        <v>6959.92435130262</v>
      </c>
      <c r="F792" s="7" t="n">
        <f aca="false">MAX(0,(E792-D792)/D792)</f>
        <v>0</v>
      </c>
      <c r="G792" s="7" t="n">
        <f aca="false">MIN(K792*Parâmetros!$B$19,Parâmetros!$B$8)</f>
        <v>0.0244038339849275</v>
      </c>
      <c r="H792" s="3" t="str">
        <f aca="false">IF(F792&gt;=Parâmetros!$B$6,"Ação","Acompanhamento")</f>
        <v>Acompanhamento</v>
      </c>
      <c r="I792" s="17" t="n">
        <v>301.841825902336</v>
      </c>
      <c r="J792" s="11" t="n">
        <f aca="false">D792*I792</f>
        <v>2314757.54246285</v>
      </c>
      <c r="K792" s="7" t="n">
        <f aca="false">Parâmetros!$B$4+Parâmetros!$B$5*F792</f>
        <v>0.02</v>
      </c>
      <c r="L792" s="11" t="n">
        <f aca="false">D792*(1+G792)</f>
        <v>7855.92418862359</v>
      </c>
      <c r="M792" s="14" t="n">
        <v>0</v>
      </c>
      <c r="N792" s="4" t="n">
        <v>1</v>
      </c>
      <c r="O792" s="3" t="str">
        <f aca="false">IF(AND(B792=4,M792=1),IF(N792&lt;0.8,"Subgrupo 7 dias; fronteira de cluster","Subgrupo 7 dias"),IF(N792&lt;0.8,"Fronteira de cluster",""))</f>
        <v/>
      </c>
    </row>
    <row r="793" customFormat="false" ht="15" hidden="false" customHeight="false" outlineLevel="0" collapsed="false">
      <c r="A793" s="14" t="n">
        <v>792</v>
      </c>
      <c r="B793" s="14" t="n">
        <v>3</v>
      </c>
      <c r="C793" s="14" t="s">
        <v>32</v>
      </c>
      <c r="D793" s="15" t="n">
        <v>7389.37355584082</v>
      </c>
      <c r="E793" s="16" t="n">
        <f aca="false">INDEX(Parâmetros!$C$33:$C$37,MATCH(B793,Parâmetros!$A$33:$A$37,0))</f>
        <v>5909.24487179487</v>
      </c>
      <c r="F793" s="7" t="n">
        <f aca="false">MAX(0,(E793-D793)/D793)</f>
        <v>0</v>
      </c>
      <c r="G793" s="7" t="n">
        <f aca="false">MIN(K793*Parâmetros!$B$19,Parâmetros!$B$8)</f>
        <v>0.0244038339849275</v>
      </c>
      <c r="H793" s="3" t="str">
        <f aca="false">IF(F793&gt;=Parâmetros!$B$6,"Ação","Acompanhamento")</f>
        <v>Acompanhamento</v>
      </c>
      <c r="I793" s="17" t="n">
        <v>301.841825902336</v>
      </c>
      <c r="J793" s="11" t="n">
        <f aca="false">D793*I793</f>
        <v>2230422.00636943</v>
      </c>
      <c r="K793" s="7" t="n">
        <f aca="false">Parâmetros!$B$4+Parâmetros!$B$5*F793</f>
        <v>0.02</v>
      </c>
      <c r="L793" s="11" t="n">
        <f aca="false">D793*(1+G793)</f>
        <v>7569.70260135017</v>
      </c>
      <c r="M793" s="14" t="n">
        <v>0</v>
      </c>
      <c r="N793" s="4" t="n">
        <v>1</v>
      </c>
      <c r="O793" s="3" t="str">
        <f aca="false">IF(AND(B793=4,M793=1),IF(N793&lt;0.8,"Subgrupo 7 dias; fronteira de cluster","Subgrupo 7 dias"),IF(N793&lt;0.8,"Fronteira de cluster",""))</f>
        <v/>
      </c>
    </row>
    <row r="794" customFormat="false" ht="15" hidden="false" customHeight="false" outlineLevel="0" collapsed="false">
      <c r="A794" s="14" t="n">
        <v>793</v>
      </c>
      <c r="B794" s="14" t="n">
        <v>3</v>
      </c>
      <c r="C794" s="14" t="s">
        <v>32</v>
      </c>
      <c r="D794" s="15" t="n">
        <v>4832.12195121951</v>
      </c>
      <c r="E794" s="16" t="n">
        <f aca="false">INDEX(Parâmetros!$C$33:$C$37,MATCH(B794,Parâmetros!$A$33:$A$37,0))</f>
        <v>5909.24487179487</v>
      </c>
      <c r="F794" s="7" t="n">
        <f aca="false">MAX(0,(E794-D794)/D794)</f>
        <v>0.222908885878495</v>
      </c>
      <c r="G794" s="7" t="n">
        <f aca="false">MIN(K794*Parâmetros!$B$19,Parâmetros!$B$8)</f>
        <v>0.0924017270442265</v>
      </c>
      <c r="H794" s="3" t="str">
        <f aca="false">IF(F794&gt;=Parâmetros!$B$6,"Ação","Acompanhamento")</f>
        <v>Ação</v>
      </c>
      <c r="I794" s="17" t="n">
        <v>301.841825902336</v>
      </c>
      <c r="J794" s="11" t="n">
        <f aca="false">D794*I794</f>
        <v>1458536.51273885</v>
      </c>
      <c r="K794" s="7" t="n">
        <f aca="false">Parâmetros!$B$4+Parâmetros!$B$5*F794</f>
        <v>0.0757272214696237</v>
      </c>
      <c r="L794" s="11" t="n">
        <f aca="false">D794*(1+G794)</f>
        <v>5278.61836480051</v>
      </c>
      <c r="M794" s="14" t="n">
        <v>0</v>
      </c>
      <c r="N794" s="4" t="n">
        <v>0.965909090909091</v>
      </c>
      <c r="O794" s="3" t="str">
        <f aca="false">IF(AND(B794=4,M794=1),IF(N794&lt;0.8,"Subgrupo 7 dias; fronteira de cluster","Subgrupo 7 dias"),IF(N794&lt;0.8,"Fronteira de cluster",""))</f>
        <v/>
      </c>
    </row>
    <row r="795" customFormat="false" ht="15" hidden="false" customHeight="false" outlineLevel="0" collapsed="false">
      <c r="A795" s="14" t="n">
        <v>794</v>
      </c>
      <c r="B795" s="14" t="n">
        <v>0</v>
      </c>
      <c r="C795" s="14" t="s">
        <v>29</v>
      </c>
      <c r="D795" s="15" t="n">
        <v>3083.81282051282</v>
      </c>
      <c r="E795" s="16" t="n">
        <f aca="false">INDEX(Parâmetros!$C$33:$C$37,MATCH(B795,Parâmetros!$A$33:$A$37,0))</f>
        <v>5476.37033462034</v>
      </c>
      <c r="F795" s="7" t="n">
        <f aca="false">MAX(0,(E795-D795)/D795)</f>
        <v>0.775843948177647</v>
      </c>
      <c r="G795" s="7" t="n">
        <f aca="false">MIN(K795*Parâmetros!$B$19,Parâmetros!$B$8)</f>
        <v>0.2</v>
      </c>
      <c r="H795" s="3" t="str">
        <f aca="false">IF(F795&gt;=Parâmetros!$B$6,"Ação","Acompanhamento")</f>
        <v>Ação</v>
      </c>
      <c r="I795" s="17" t="n">
        <v>302.229299363057</v>
      </c>
      <c r="J795" s="11" t="n">
        <f aca="false">D795*I795</f>
        <v>932018.588110403</v>
      </c>
      <c r="K795" s="7" t="n">
        <f aca="false">Parâmetros!$B$4+Parâmetros!$B$5*F795</f>
        <v>0.213960987044412</v>
      </c>
      <c r="L795" s="11" t="n">
        <f aca="false">D795*(1+G795)</f>
        <v>3700.57538461539</v>
      </c>
      <c r="M795" s="14" t="n">
        <v>0</v>
      </c>
      <c r="N795" s="4" t="n">
        <v>0.773333333333333</v>
      </c>
      <c r="O795" s="3" t="str">
        <f aca="false">IF(AND(B795=4,M795=1),IF(N795&lt;0.8,"Subgrupo 7 dias; fronteira de cluster","Subgrupo 7 dias"),IF(N795&lt;0.8,"Fronteira de cluster",""))</f>
        <v>Fronteira de cluster</v>
      </c>
    </row>
    <row r="796" customFormat="false" ht="15" hidden="false" customHeight="false" outlineLevel="0" collapsed="false">
      <c r="A796" s="14" t="n">
        <v>795</v>
      </c>
      <c r="B796" s="14" t="n">
        <v>0</v>
      </c>
      <c r="C796" s="14" t="s">
        <v>29</v>
      </c>
      <c r="D796" s="15" t="n">
        <v>4553.67394094994</v>
      </c>
      <c r="E796" s="16" t="n">
        <f aca="false">INDEX(Parâmetros!$C$33:$C$37,MATCH(B796,Parâmetros!$A$33:$A$37,0))</f>
        <v>5476.37033462034</v>
      </c>
      <c r="F796" s="7" t="n">
        <f aca="false">MAX(0,(E796-D796)/D796)</f>
        <v>0.202626803244045</v>
      </c>
      <c r="G796" s="7" t="n">
        <f aca="false">MIN(K796*Parâmetros!$B$19,Parâmetros!$B$8)</f>
        <v>0.0862147198257304</v>
      </c>
      <c r="H796" s="3" t="str">
        <f aca="false">IF(F796&gt;=Parâmetros!$B$6,"Ação","Acompanhamento")</f>
        <v>Ação</v>
      </c>
      <c r="I796" s="17" t="n">
        <v>301.841825902336</v>
      </c>
      <c r="J796" s="11" t="n">
        <f aca="false">D796*I796</f>
        <v>1374489.25690021</v>
      </c>
      <c r="K796" s="7" t="n">
        <f aca="false">Parâmetros!$B$4+Parâmetros!$B$5*F796</f>
        <v>0.0706567008110113</v>
      </c>
      <c r="L796" s="11" t="n">
        <f aca="false">D796*(1+G796)</f>
        <v>4946.26766394666</v>
      </c>
      <c r="M796" s="14" t="n">
        <v>0</v>
      </c>
      <c r="N796" s="4" t="n">
        <v>0.576923076923077</v>
      </c>
      <c r="O796" s="3" t="str">
        <f aca="false">IF(AND(B796=4,M796=1),IF(N796&lt;0.8,"Subgrupo 7 dias; fronteira de cluster","Subgrupo 7 dias"),IF(N796&lt;0.8,"Fronteira de cluster",""))</f>
        <v>Fronteira de cluster</v>
      </c>
    </row>
    <row r="797" customFormat="false" ht="15" hidden="false" customHeight="false" outlineLevel="0" collapsed="false">
      <c r="A797" s="14" t="n">
        <v>796</v>
      </c>
      <c r="B797" s="14" t="n">
        <v>1</v>
      </c>
      <c r="C797" s="14" t="s">
        <v>30</v>
      </c>
      <c r="D797" s="15" t="n">
        <v>7244.77278562259</v>
      </c>
      <c r="E797" s="16" t="n">
        <f aca="false">INDEX(Parâmetros!$C$33:$C$37,MATCH(B797,Parâmetros!$A$33:$A$37,0))</f>
        <v>6959.92435130262</v>
      </c>
      <c r="F797" s="7" t="n">
        <f aca="false">MAX(0,(E797-D797)/D797)</f>
        <v>0</v>
      </c>
      <c r="G797" s="7" t="n">
        <f aca="false">MIN(K797*Parâmetros!$B$19,Parâmetros!$B$8)</f>
        <v>0.0244038339849275</v>
      </c>
      <c r="H797" s="3" t="str">
        <f aca="false">IF(F797&gt;=Parâmetros!$B$6,"Ação","Acompanhamento")</f>
        <v>Acompanhamento</v>
      </c>
      <c r="I797" s="17" t="n">
        <v>301.841825902336</v>
      </c>
      <c r="J797" s="11" t="n">
        <f aca="false">D797*I797</f>
        <v>2186775.44585987</v>
      </c>
      <c r="K797" s="7" t="n">
        <f aca="false">Parâmetros!$B$4+Parâmetros!$B$5*F797</f>
        <v>0.02</v>
      </c>
      <c r="L797" s="11" t="n">
        <f aca="false">D797*(1+G797)</f>
        <v>7421.57301794145</v>
      </c>
      <c r="M797" s="14" t="n">
        <v>0</v>
      </c>
      <c r="N797" s="4" t="n">
        <v>0.938271604938272</v>
      </c>
      <c r="O797" s="3" t="str">
        <f aca="false">IF(AND(B797=4,M797=1),IF(N797&lt;0.8,"Subgrupo 7 dias; fronteira de cluster","Subgrupo 7 dias"),IF(N797&lt;0.8,"Fronteira de cluster",""))</f>
        <v/>
      </c>
    </row>
    <row r="798" customFormat="false" ht="15" hidden="false" customHeight="false" outlineLevel="0" collapsed="false">
      <c r="A798" s="14" t="n">
        <v>797</v>
      </c>
      <c r="B798" s="14" t="n">
        <v>0</v>
      </c>
      <c r="C798" s="14" t="s">
        <v>29</v>
      </c>
      <c r="D798" s="15" t="n">
        <v>4208.23151125402</v>
      </c>
      <c r="E798" s="16" t="n">
        <f aca="false">INDEX(Parâmetros!$C$33:$C$37,MATCH(B798,Parâmetros!$A$33:$A$37,0))</f>
        <v>5476.37033462034</v>
      </c>
      <c r="F798" s="7" t="n">
        <f aca="false">MAX(0,(E798-D798)/D798)</f>
        <v>0.301347209623555</v>
      </c>
      <c r="G798" s="7" t="n">
        <f aca="false">MIN(K798*Parâmetros!$B$19,Parâmetros!$B$8)</f>
        <v>0.116329174928357</v>
      </c>
      <c r="H798" s="3" t="str">
        <f aca="false">IF(F798&gt;=Parâmetros!$B$6,"Ação","Acompanhamento")</f>
        <v>Ação</v>
      </c>
      <c r="I798" s="17" t="n">
        <v>299.511873350924</v>
      </c>
      <c r="J798" s="11" t="n">
        <f aca="false">D798*I798</f>
        <v>1260415.30343008</v>
      </c>
      <c r="K798" s="7" t="n">
        <f aca="false">Parâmetros!$B$4+Parâmetros!$B$5*F798</f>
        <v>0.0953368024058888</v>
      </c>
      <c r="L798" s="11" t="n">
        <f aca="false">D798*(1+G798)</f>
        <v>4697.77161086571</v>
      </c>
      <c r="M798" s="14" t="n">
        <v>0</v>
      </c>
      <c r="N798" s="4" t="n">
        <v>0.785714285714286</v>
      </c>
      <c r="O798" s="3" t="str">
        <f aca="false">IF(AND(B798=4,M798=1),IF(N798&lt;0.8,"Subgrupo 7 dias; fronteira de cluster","Subgrupo 7 dias"),IF(N798&lt;0.8,"Fronteira de cluster",""))</f>
        <v>Fronteira de cluster</v>
      </c>
    </row>
    <row r="799" customFormat="false" ht="15" hidden="false" customHeight="false" outlineLevel="0" collapsed="false">
      <c r="A799" s="14" t="n">
        <v>798</v>
      </c>
      <c r="B799" s="14" t="n">
        <v>3</v>
      </c>
      <c r="C799" s="14" t="s">
        <v>32</v>
      </c>
      <c r="D799" s="15" t="n">
        <v>7468.27435897436</v>
      </c>
      <c r="E799" s="16" t="n">
        <f aca="false">INDEX(Parâmetros!$C$33:$C$37,MATCH(B799,Parâmetros!$A$33:$A$37,0))</f>
        <v>5909.24487179487</v>
      </c>
      <c r="F799" s="7" t="n">
        <f aca="false">MAX(0,(E799-D799)/D799)</f>
        <v>0</v>
      </c>
      <c r="G799" s="7" t="n">
        <f aca="false">MIN(K799*Parâmetros!$B$19,Parâmetros!$B$8)</f>
        <v>0.0244038339849275</v>
      </c>
      <c r="H799" s="3" t="str">
        <f aca="false">IF(F799&gt;=Parâmetros!$B$6,"Ação","Acompanhamento")</f>
        <v>Acompanhamento</v>
      </c>
      <c r="I799" s="17" t="n">
        <v>302.229299363057</v>
      </c>
      <c r="J799" s="11" t="n">
        <f aca="false">D799*I799</f>
        <v>2257131.32696391</v>
      </c>
      <c r="K799" s="7" t="n">
        <f aca="false">Parâmetros!$B$4+Parâmetros!$B$5*F799</f>
        <v>0.02</v>
      </c>
      <c r="L799" s="11" t="n">
        <f aca="false">D799*(1+G799)</f>
        <v>7650.52888658466</v>
      </c>
      <c r="M799" s="14" t="n">
        <v>0</v>
      </c>
      <c r="N799" s="4" t="n">
        <v>1</v>
      </c>
      <c r="O799" s="3" t="str">
        <f aca="false">IF(AND(B799=4,M799=1),IF(N799&lt;0.8,"Subgrupo 7 dias; fronteira de cluster","Subgrupo 7 dias"),IF(N799&lt;0.8,"Fronteira de cluster",""))</f>
        <v/>
      </c>
    </row>
    <row r="800" customFormat="false" ht="15" hidden="false" customHeight="false" outlineLevel="0" collapsed="false">
      <c r="A800" s="14" t="n">
        <v>799</v>
      </c>
      <c r="B800" s="14" t="n">
        <v>1</v>
      </c>
      <c r="C800" s="14" t="s">
        <v>30</v>
      </c>
      <c r="D800" s="15" t="n">
        <v>9894.98716302953</v>
      </c>
      <c r="E800" s="16" t="n">
        <f aca="false">INDEX(Parâmetros!$C$33:$C$37,MATCH(B800,Parâmetros!$A$33:$A$37,0))</f>
        <v>6959.92435130262</v>
      </c>
      <c r="F800" s="7" t="n">
        <f aca="false">MAX(0,(E800-D800)/D800)</f>
        <v>0</v>
      </c>
      <c r="G800" s="7" t="n">
        <f aca="false">MIN(K800*Parâmetros!$B$19,Parâmetros!$B$8)</f>
        <v>0.0244038339849275</v>
      </c>
      <c r="H800" s="3" t="str">
        <f aca="false">IF(F800&gt;=Parâmetros!$B$6,"Ação","Acompanhamento")</f>
        <v>Acompanhamento</v>
      </c>
      <c r="I800" s="17" t="n">
        <v>301.841825902336</v>
      </c>
      <c r="J800" s="11" t="n">
        <f aca="false">D800*I800</f>
        <v>2986720.992569</v>
      </c>
      <c r="K800" s="7" t="n">
        <f aca="false">Parâmetros!$B$4+Parâmetros!$B$5*F800</f>
        <v>0.02</v>
      </c>
      <c r="L800" s="11" t="n">
        <f aca="false">D800*(1+G800)</f>
        <v>10136.4627870391</v>
      </c>
      <c r="M800" s="14" t="n">
        <v>0</v>
      </c>
      <c r="N800" s="4" t="n">
        <v>0.950617283950617</v>
      </c>
      <c r="O800" s="3" t="str">
        <f aca="false">IF(AND(B800=4,M800=1),IF(N800&lt;0.8,"Subgrupo 7 dias; fronteira de cluster","Subgrupo 7 dias"),IF(N800&lt;0.8,"Fronteira de cluster",""))</f>
        <v/>
      </c>
    </row>
    <row r="801" customFormat="false" ht="15" hidden="false" customHeight="false" outlineLevel="0" collapsed="false">
      <c r="A801" s="14" t="n">
        <v>800</v>
      </c>
      <c r="B801" s="14" t="n">
        <v>1</v>
      </c>
      <c r="C801" s="14" t="s">
        <v>30</v>
      </c>
      <c r="D801" s="15" t="n">
        <v>5337.43260590501</v>
      </c>
      <c r="E801" s="16" t="n">
        <f aca="false">INDEX(Parâmetros!$C$33:$C$37,MATCH(B801,Parâmetros!$A$33:$A$37,0))</f>
        <v>6959.92435130262</v>
      </c>
      <c r="F801" s="7" t="n">
        <f aca="false">MAX(0,(E801-D801)/D801)</f>
        <v>0.30398355636427</v>
      </c>
      <c r="G801" s="7" t="n">
        <f aca="false">MIN(K801*Parâmetros!$B$19,Parâmetros!$B$8)</f>
        <v>0.117133387030696</v>
      </c>
      <c r="H801" s="3" t="str">
        <f aca="false">IF(F801&gt;=Parâmetros!$B$6,"Ação","Acompanhamento")</f>
        <v>Ação</v>
      </c>
      <c r="I801" s="17" t="n">
        <v>301.841825902336</v>
      </c>
      <c r="J801" s="11" t="n">
        <f aca="false">D801*I801</f>
        <v>1611060.40339703</v>
      </c>
      <c r="K801" s="7" t="n">
        <f aca="false">Parâmetros!$B$4+Parâmetros!$B$5*F801</f>
        <v>0.0959958890910674</v>
      </c>
      <c r="L801" s="11" t="n">
        <f aca="false">D801*(1+G801)</f>
        <v>5962.62416508273</v>
      </c>
      <c r="M801" s="14" t="n">
        <v>0</v>
      </c>
      <c r="N801" s="4" t="n">
        <v>1</v>
      </c>
      <c r="O801" s="3" t="str">
        <f aca="false">IF(AND(B801=4,M801=1),IF(N801&lt;0.8,"Subgrupo 7 dias; fronteira de cluster","Subgrupo 7 dias"),IF(N801&lt;0.8,"Fronteira de cluster",""))</f>
        <v/>
      </c>
    </row>
    <row r="802" customFormat="false" ht="15" hidden="false" customHeight="false" outlineLevel="0" collapsed="false">
      <c r="A802" s="14" t="n">
        <v>801</v>
      </c>
      <c r="B802" s="14" t="n">
        <v>1</v>
      </c>
      <c r="C802" s="14" t="s">
        <v>30</v>
      </c>
      <c r="D802" s="15" t="n">
        <v>4845.22959183674</v>
      </c>
      <c r="E802" s="16" t="n">
        <f aca="false">INDEX(Parâmetros!$C$33:$C$37,MATCH(B802,Parâmetros!$A$33:$A$37,0))</f>
        <v>6959.92435130262</v>
      </c>
      <c r="F802" s="7" t="n">
        <f aca="false">MAX(0,(E802-D802)/D802)</f>
        <v>0.436448824433157</v>
      </c>
      <c r="G802" s="7" t="n">
        <f aca="false">MIN(K802*Parâmetros!$B$19,Parâmetros!$B$8)</f>
        <v>0.157541642164721</v>
      </c>
      <c r="H802" s="3" t="str">
        <f aca="false">IF(F802&gt;=Parâmetros!$B$6,"Ação","Acompanhamento")</f>
        <v>Ação</v>
      </c>
      <c r="I802" s="17" t="n">
        <v>303.779193205945</v>
      </c>
      <c r="J802" s="11" t="n">
        <f aca="false">D802*I802</f>
        <v>1471879.93630573</v>
      </c>
      <c r="K802" s="7" t="n">
        <f aca="false">Parâmetros!$B$4+Parâmetros!$B$5*F802</f>
        <v>0.129112206108289</v>
      </c>
      <c r="L802" s="11" t="n">
        <f aca="false">D802*(1+G802)</f>
        <v>5608.5550183998</v>
      </c>
      <c r="M802" s="14" t="n">
        <v>0</v>
      </c>
      <c r="N802" s="4" t="n">
        <v>0.623376623376623</v>
      </c>
      <c r="O802" s="3" t="str">
        <f aca="false">IF(AND(B802=4,M802=1),IF(N802&lt;0.8,"Subgrupo 7 dias; fronteira de cluster","Subgrupo 7 dias"),IF(N802&lt;0.8,"Fronteira de cluster",""))</f>
        <v>Fronteira de cluster</v>
      </c>
    </row>
    <row r="803" customFormat="false" ht="15" hidden="false" customHeight="false" outlineLevel="0" collapsed="false">
      <c r="A803" s="14" t="n">
        <v>802</v>
      </c>
      <c r="B803" s="14" t="n">
        <v>1</v>
      </c>
      <c r="C803" s="14" t="s">
        <v>30</v>
      </c>
      <c r="D803" s="15" t="n">
        <v>6841.07525510204</v>
      </c>
      <c r="E803" s="16" t="n">
        <f aca="false">INDEX(Parâmetros!$C$33:$C$37,MATCH(B803,Parâmetros!$A$33:$A$37,0))</f>
        <v>6959.92435130262</v>
      </c>
      <c r="F803" s="7" t="n">
        <f aca="false">MAX(0,(E803-D803)/D803)</f>
        <v>0.0173728678268731</v>
      </c>
      <c r="G803" s="7" t="n">
        <f aca="false">MIN(K803*Parâmetros!$B$19,Parâmetros!$B$8)</f>
        <v>0.0297033912635412</v>
      </c>
      <c r="H803" s="3" t="str">
        <f aca="false">IF(F803&gt;=Parâmetros!$B$6,"Ação","Acompanhamento")</f>
        <v>Acompanhamento</v>
      </c>
      <c r="I803" s="17" t="n">
        <v>303.779193205945</v>
      </c>
      <c r="J803" s="11" t="n">
        <f aca="false">D803*I803</f>
        <v>2078176.32165605</v>
      </c>
      <c r="K803" s="7" t="n">
        <f aca="false">Parâmetros!$B$4+Parâmetros!$B$5*F803</f>
        <v>0.0243432169567183</v>
      </c>
      <c r="L803" s="11" t="n">
        <f aca="false">D803*(1+G803)</f>
        <v>7044.27839006767</v>
      </c>
      <c r="M803" s="14" t="n">
        <v>0</v>
      </c>
      <c r="N803" s="4" t="n">
        <v>1</v>
      </c>
      <c r="O803" s="3" t="str">
        <f aca="false">IF(AND(B803=4,M803=1),IF(N803&lt;0.8,"Subgrupo 7 dias; fronteira de cluster","Subgrupo 7 dias"),IF(N803&lt;0.8,"Fronteira de cluster",""))</f>
        <v/>
      </c>
    </row>
    <row r="804" customFormat="false" ht="15" hidden="false" customHeight="false" outlineLevel="0" collapsed="false">
      <c r="A804" s="14" t="n">
        <v>803</v>
      </c>
      <c r="B804" s="14" t="n">
        <v>1</v>
      </c>
      <c r="C804" s="14" t="s">
        <v>30</v>
      </c>
      <c r="D804" s="15" t="n">
        <v>6047.67880364109</v>
      </c>
      <c r="E804" s="16" t="n">
        <f aca="false">INDEX(Parâmetros!$C$33:$C$37,MATCH(B804,Parâmetros!$A$33:$A$37,0))</f>
        <v>6959.92435130262</v>
      </c>
      <c r="F804" s="7" t="n">
        <f aca="false">MAX(0,(E804-D804)/D804)</f>
        <v>0.150842261515658</v>
      </c>
      <c r="G804" s="7" t="n">
        <f aca="false">MIN(K804*Parâmetros!$B$19,Parâmetros!$B$8)</f>
        <v>0.0704179528341664</v>
      </c>
      <c r="H804" s="3" t="str">
        <f aca="false">IF(F804&gt;=Parâmetros!$B$6,"Ação","Acompanhamento")</f>
        <v>Ação</v>
      </c>
      <c r="I804" s="17" t="n">
        <v>297.967091295117</v>
      </c>
      <c r="J804" s="11" t="n">
        <f aca="false">D804*I804</f>
        <v>1802009.26220807</v>
      </c>
      <c r="K804" s="7" t="n">
        <f aca="false">Parâmetros!$B$4+Parâmetros!$B$5*F804</f>
        <v>0.0577105653789144</v>
      </c>
      <c r="L804" s="11" t="n">
        <f aca="false">D804*(1+G804)</f>
        <v>6473.54396439208</v>
      </c>
      <c r="M804" s="14" t="n">
        <v>0</v>
      </c>
      <c r="N804" s="4" t="n">
        <v>1</v>
      </c>
      <c r="O804" s="3" t="str">
        <f aca="false">IF(AND(B804=4,M804=1),IF(N804&lt;0.8,"Subgrupo 7 dias; fronteira de cluster","Subgrupo 7 dias"),IF(N804&lt;0.8,"Fronteira de cluster",""))</f>
        <v/>
      </c>
    </row>
    <row r="805" customFormat="false" ht="15" hidden="false" customHeight="false" outlineLevel="0" collapsed="false">
      <c r="A805" s="14" t="n">
        <v>804</v>
      </c>
      <c r="B805" s="14" t="n">
        <v>1</v>
      </c>
      <c r="C805" s="14" t="s">
        <v>30</v>
      </c>
      <c r="D805" s="15" t="n">
        <v>4922.18649517685</v>
      </c>
      <c r="E805" s="16" t="n">
        <f aca="false">INDEX(Parâmetros!$C$33:$C$37,MATCH(B805,Parâmetros!$A$33:$A$37,0))</f>
        <v>6959.92435130262</v>
      </c>
      <c r="F805" s="7" t="n">
        <f aca="false">MAX(0,(E805-D805)/D805)</f>
        <v>0.413990379706765</v>
      </c>
      <c r="G805" s="7" t="n">
        <f aca="false">MIN(K805*Parâmetros!$B$19,Parâmetros!$B$8)</f>
        <v>0.15069074020644</v>
      </c>
      <c r="H805" s="3" t="str">
        <f aca="false">IF(F805&gt;=Parâmetros!$B$6,"Ação","Acompanhamento")</f>
        <v>Ação</v>
      </c>
      <c r="I805" s="17" t="n">
        <v>299.511873350924</v>
      </c>
      <c r="J805" s="11" t="n">
        <f aca="false">D805*I805</f>
        <v>1474253.29815303</v>
      </c>
      <c r="K805" s="7" t="n">
        <f aca="false">Parâmetros!$B$4+Parâmetros!$B$5*F805</f>
        <v>0.123497594926691</v>
      </c>
      <c r="L805" s="11" t="n">
        <f aca="false">D805*(1+G805)</f>
        <v>5663.91442156919</v>
      </c>
      <c r="M805" s="14" t="n">
        <v>0</v>
      </c>
      <c r="N805" s="4" t="n">
        <v>1</v>
      </c>
      <c r="O805" s="3" t="str">
        <f aca="false">IF(AND(B805=4,M805=1),IF(N805&lt;0.8,"Subgrupo 7 dias; fronteira de cluster","Subgrupo 7 dias"),IF(N805&lt;0.8,"Fronteira de cluster",""))</f>
        <v/>
      </c>
    </row>
    <row r="806" customFormat="false" ht="15" hidden="false" customHeight="false" outlineLevel="0" collapsed="false">
      <c r="A806" s="14" t="n">
        <v>805</v>
      </c>
      <c r="B806" s="14" t="n">
        <v>1</v>
      </c>
      <c r="C806" s="14" t="s">
        <v>30</v>
      </c>
      <c r="D806" s="15" t="n">
        <v>6084.22829581994</v>
      </c>
      <c r="E806" s="16" t="n">
        <f aca="false">INDEX(Parâmetros!$C$33:$C$37,MATCH(B806,Parâmetros!$A$33:$A$37,0))</f>
        <v>6959.92435130262</v>
      </c>
      <c r="F806" s="7" t="n">
        <f aca="false">MAX(0,(E806-D806)/D806)</f>
        <v>0.143928862117866</v>
      </c>
      <c r="G806" s="7" t="n">
        <f aca="false">MIN(K806*Parâmetros!$B$19,Parâmetros!$B$8)</f>
        <v>0.0683090346944764</v>
      </c>
      <c r="H806" s="3" t="str">
        <f aca="false">IF(F806&gt;=Parâmetros!$B$6,"Ação","Acompanhamento")</f>
        <v>Ação</v>
      </c>
      <c r="I806" s="17" t="n">
        <v>299.511873350924</v>
      </c>
      <c r="J806" s="11" t="n">
        <f aca="false">D806*I806</f>
        <v>1822298.61477573</v>
      </c>
      <c r="K806" s="7" t="n">
        <f aca="false">Parâmetros!$B$4+Parâmetros!$B$5*F806</f>
        <v>0.0559822155294665</v>
      </c>
      <c r="L806" s="11" t="n">
        <f aca="false">D806*(1+G806)</f>
        <v>6499.83605756821</v>
      </c>
      <c r="M806" s="14" t="n">
        <v>0</v>
      </c>
      <c r="N806" s="4" t="n">
        <v>1</v>
      </c>
      <c r="O806" s="3" t="str">
        <f aca="false">IF(AND(B806=4,M806=1),IF(N806&lt;0.8,"Subgrupo 7 dias; fronteira de cluster","Subgrupo 7 dias"),IF(N806&lt;0.8,"Fronteira de cluster",""))</f>
        <v/>
      </c>
    </row>
    <row r="807" customFormat="false" ht="15" hidden="false" customHeight="false" outlineLevel="0" collapsed="false">
      <c r="A807" s="14" t="n">
        <v>806</v>
      </c>
      <c r="B807" s="14" t="n">
        <v>0</v>
      </c>
      <c r="C807" s="14" t="s">
        <v>29</v>
      </c>
      <c r="D807" s="15" t="n">
        <v>6808.28778135048</v>
      </c>
      <c r="E807" s="16" t="n">
        <f aca="false">INDEX(Parâmetros!$C$33:$C$37,MATCH(B807,Parâmetros!$A$33:$A$37,0))</f>
        <v>5476.37033462034</v>
      </c>
      <c r="F807" s="7" t="n">
        <f aca="false">MAX(0,(E807-D807)/D807)</f>
        <v>0</v>
      </c>
      <c r="G807" s="7" t="n">
        <f aca="false">MIN(K807*Parâmetros!$B$19,Parâmetros!$B$8)</f>
        <v>0.0244038339849275</v>
      </c>
      <c r="H807" s="3" t="str">
        <f aca="false">IF(F807&gt;=Parâmetros!$B$6,"Ação","Acompanhamento")</f>
        <v>Acompanhamento</v>
      </c>
      <c r="I807" s="17" t="n">
        <v>299.511873350924</v>
      </c>
      <c r="J807" s="11" t="n">
        <f aca="false">D807*I807</f>
        <v>2039163.02770449</v>
      </c>
      <c r="K807" s="7" t="n">
        <f aca="false">Parâmetros!$B$4+Parâmetros!$B$5*F807</f>
        <v>0.02</v>
      </c>
      <c r="L807" s="11" t="n">
        <f aca="false">D807*(1+G807)</f>
        <v>6974.43610608817</v>
      </c>
      <c r="M807" s="14" t="n">
        <v>0</v>
      </c>
      <c r="N807" s="4" t="n">
        <v>0.988095238095238</v>
      </c>
      <c r="O807" s="3" t="str">
        <f aca="false">IF(AND(B807=4,M807=1),IF(N807&lt;0.8,"Subgrupo 7 dias; fronteira de cluster","Subgrupo 7 dias"),IF(N807&lt;0.8,"Fronteira de cluster",""))</f>
        <v/>
      </c>
    </row>
    <row r="808" customFormat="false" ht="15" hidden="false" customHeight="false" outlineLevel="0" collapsed="false">
      <c r="A808" s="14" t="n">
        <v>807</v>
      </c>
      <c r="B808" s="14" t="n">
        <v>4</v>
      </c>
      <c r="C808" s="14" t="s">
        <v>33</v>
      </c>
      <c r="D808" s="15" t="n">
        <v>9820.04225352113</v>
      </c>
      <c r="E808" s="16" t="n">
        <f aca="false">INDEX(Parâmetros!$C$33:$C$37,MATCH(B808,Parâmetros!$A$33:$A$37,0))</f>
        <v>8837.10512820513</v>
      </c>
      <c r="F808" s="7" t="n">
        <f aca="false">MAX(0,(E808-D808)/D808)</f>
        <v>0</v>
      </c>
      <c r="G808" s="7" t="n">
        <f aca="false">MIN(K808*Parâmetros!$B$19,Parâmetros!$B$8)</f>
        <v>0.0244038339849275</v>
      </c>
      <c r="H808" s="3" t="str">
        <f aca="false">IF(F808&gt;=Parâmetros!$B$6,"Ação","Acompanhamento")</f>
        <v>Acompanhamento</v>
      </c>
      <c r="I808" s="17" t="n">
        <v>302.616772823779</v>
      </c>
      <c r="J808" s="11" t="n">
        <f aca="false">D808*I808</f>
        <v>2971709.49575372</v>
      </c>
      <c r="K808" s="7" t="n">
        <f aca="false">Parâmetros!$B$4+Parâmetros!$B$5*F808</f>
        <v>0.02</v>
      </c>
      <c r="L808" s="11" t="n">
        <f aca="false">D808*(1+G808)</f>
        <v>10059.688934401</v>
      </c>
      <c r="M808" s="14" t="n">
        <v>0</v>
      </c>
      <c r="N808" s="4" t="n">
        <v>0.987341772151899</v>
      </c>
      <c r="O808" s="3" t="str">
        <f aca="false">IF(AND(B808=4,M808=1),IF(N808&lt;0.8,"Subgrupo 7 dias; fronteira de cluster","Subgrupo 7 dias"),IF(N808&lt;0.8,"Fronteira de cluster",""))</f>
        <v/>
      </c>
    </row>
    <row r="809" customFormat="false" ht="15" hidden="false" customHeight="false" outlineLevel="0" collapsed="false">
      <c r="A809" s="14" t="n">
        <v>808</v>
      </c>
      <c r="B809" s="14" t="n">
        <v>1</v>
      </c>
      <c r="C809" s="14" t="s">
        <v>30</v>
      </c>
      <c r="D809" s="15" t="n">
        <v>7291.13333333333</v>
      </c>
      <c r="E809" s="16" t="n">
        <f aca="false">INDEX(Parâmetros!$C$33:$C$37,MATCH(B809,Parâmetros!$A$33:$A$37,0))</f>
        <v>6959.92435130262</v>
      </c>
      <c r="F809" s="7" t="n">
        <f aca="false">MAX(0,(E809-D809)/D809)</f>
        <v>0</v>
      </c>
      <c r="G809" s="7" t="n">
        <f aca="false">MIN(K809*Parâmetros!$B$19,Parâmetros!$B$8)</f>
        <v>0.0244038339849275</v>
      </c>
      <c r="H809" s="3" t="str">
        <f aca="false">IF(F809&gt;=Parâmetros!$B$6,"Ação","Acompanhamento")</f>
        <v>Acompanhamento</v>
      </c>
      <c r="I809" s="17" t="n">
        <v>302.229299363057</v>
      </c>
      <c r="J809" s="11" t="n">
        <f aca="false">D809*I809</f>
        <v>2203594.11889597</v>
      </c>
      <c r="K809" s="7" t="n">
        <f aca="false">Parâmetros!$B$4+Parâmetros!$B$5*F809</f>
        <v>0.02</v>
      </c>
      <c r="L809" s="11" t="n">
        <f aca="false">D809*(1+G809)</f>
        <v>7469.06494076197</v>
      </c>
      <c r="M809" s="14" t="n">
        <v>0</v>
      </c>
      <c r="N809" s="4" t="n">
        <v>1</v>
      </c>
      <c r="O809" s="3" t="str">
        <f aca="false">IF(AND(B809=4,M809=1),IF(N809&lt;0.8,"Subgrupo 7 dias; fronteira de cluster","Subgrupo 7 dias"),IF(N809&lt;0.8,"Fronteira de cluster",""))</f>
        <v/>
      </c>
    </row>
    <row r="810" customFormat="false" ht="15" hidden="false" customHeight="false" outlineLevel="0" collapsed="false">
      <c r="A810" s="14" t="n">
        <v>809</v>
      </c>
      <c r="B810" s="14" t="n">
        <v>3</v>
      </c>
      <c r="C810" s="14" t="s">
        <v>32</v>
      </c>
      <c r="D810" s="15" t="n">
        <v>9393.61489088575</v>
      </c>
      <c r="E810" s="16" t="n">
        <f aca="false">INDEX(Parâmetros!$C$33:$C$37,MATCH(B810,Parâmetros!$A$33:$A$37,0))</f>
        <v>5909.24487179487</v>
      </c>
      <c r="F810" s="7" t="n">
        <f aca="false">MAX(0,(E810-D810)/D810)</f>
        <v>0</v>
      </c>
      <c r="G810" s="7" t="n">
        <f aca="false">MIN(K810*Parâmetros!$B$19,Parâmetros!$B$8)</f>
        <v>0.0244038339849275</v>
      </c>
      <c r="H810" s="3" t="str">
        <f aca="false">IF(F810&gt;=Parâmetros!$B$6,"Ação","Acompanhamento")</f>
        <v>Acompanhamento</v>
      </c>
      <c r="I810" s="17" t="n">
        <v>301.841825902336</v>
      </c>
      <c r="J810" s="11" t="n">
        <f aca="false">D810*I810</f>
        <v>2835385.87048832</v>
      </c>
      <c r="K810" s="7" t="n">
        <f aca="false">Parâmetros!$B$4+Parâmetros!$B$5*F810</f>
        <v>0.02</v>
      </c>
      <c r="L810" s="11" t="n">
        <f aca="false">D810*(1+G810)</f>
        <v>9622.85510920127</v>
      </c>
      <c r="M810" s="14" t="n">
        <v>0</v>
      </c>
      <c r="N810" s="4" t="n">
        <v>0.98780487804878</v>
      </c>
      <c r="O810" s="3" t="str">
        <f aca="false">IF(AND(B810=4,M810=1),IF(N810&lt;0.8,"Subgrupo 7 dias; fronteira de cluster","Subgrupo 7 dias"),IF(N810&lt;0.8,"Fronteira de cluster",""))</f>
        <v/>
      </c>
    </row>
    <row r="811" customFormat="false" ht="15" hidden="false" customHeight="false" outlineLevel="0" collapsed="false">
      <c r="A811" s="14" t="n">
        <v>810</v>
      </c>
      <c r="B811" s="14" t="n">
        <v>1</v>
      </c>
      <c r="C811" s="14" t="s">
        <v>30</v>
      </c>
      <c r="D811" s="15" t="n">
        <v>5930.42105263158</v>
      </c>
      <c r="E811" s="16" t="n">
        <f aca="false">INDEX(Parâmetros!$C$33:$C$37,MATCH(B811,Parâmetros!$A$33:$A$37,0))</f>
        <v>6959.92435130262</v>
      </c>
      <c r="F811" s="7" t="n">
        <f aca="false">MAX(0,(E811-D811)/D811)</f>
        <v>0.173596999190168</v>
      </c>
      <c r="G811" s="7" t="n">
        <f aca="false">MIN(K811*Parâmetros!$B$19,Parâmetros!$B$8)</f>
        <v>0.0773592383414081</v>
      </c>
      <c r="H811" s="3" t="str">
        <f aca="false">IF(F811&gt;=Parâmetros!$B$6,"Ação","Acompanhamento")</f>
        <v>Ação</v>
      </c>
      <c r="I811" s="17" t="n">
        <v>301.841825902336</v>
      </c>
      <c r="J811" s="11" t="n">
        <f aca="false">D811*I811</f>
        <v>1790049.11889597</v>
      </c>
      <c r="K811" s="7" t="n">
        <f aca="false">Parâmetros!$B$4+Parâmetros!$B$5*F811</f>
        <v>0.0633992497975421</v>
      </c>
      <c r="L811" s="11" t="n">
        <f aca="false">D811*(1+G811)</f>
        <v>6389.19390830701</v>
      </c>
      <c r="M811" s="14" t="n">
        <v>0</v>
      </c>
      <c r="N811" s="4" t="n">
        <v>1</v>
      </c>
      <c r="O811" s="3" t="str">
        <f aca="false">IF(AND(B811=4,M811=1),IF(N811&lt;0.8,"Subgrupo 7 dias; fronteira de cluster","Subgrupo 7 dias"),IF(N811&lt;0.8,"Fronteira de cluster",""))</f>
        <v/>
      </c>
    </row>
    <row r="812" customFormat="false" ht="15" hidden="false" customHeight="false" outlineLevel="0" collapsed="false">
      <c r="A812" s="14" t="n">
        <v>811</v>
      </c>
      <c r="B812" s="14" t="n">
        <v>0</v>
      </c>
      <c r="C812" s="14" t="s">
        <v>29</v>
      </c>
      <c r="D812" s="15" t="n">
        <v>4132.03826530612</v>
      </c>
      <c r="E812" s="16" t="n">
        <f aca="false">INDEX(Parâmetros!$C$33:$C$37,MATCH(B812,Parâmetros!$A$33:$A$37,0))</f>
        <v>5476.37033462034</v>
      </c>
      <c r="F812" s="7" t="n">
        <f aca="false">MAX(0,(E812-D812)/D812)</f>
        <v>0.325343567265977</v>
      </c>
      <c r="G812" s="7" t="n">
        <f aca="false">MIN(K812*Parâmetros!$B$19,Parâmetros!$B$8)</f>
        <v>0.123649214030215</v>
      </c>
      <c r="H812" s="3" t="str">
        <f aca="false">IF(F812&gt;=Parâmetros!$B$6,"Ação","Acompanhamento")</f>
        <v>Ação</v>
      </c>
      <c r="I812" s="17" t="n">
        <v>303.779193205945</v>
      </c>
      <c r="J812" s="11" t="n">
        <f aca="false">D812*I812</f>
        <v>1255227.25053079</v>
      </c>
      <c r="K812" s="7" t="n">
        <f aca="false">Parâmetros!$B$4+Parâmetros!$B$5*F812</f>
        <v>0.101335891816494</v>
      </c>
      <c r="L812" s="11" t="n">
        <f aca="false">D812*(1+G812)</f>
        <v>4642.961549154</v>
      </c>
      <c r="M812" s="14" t="n">
        <v>0</v>
      </c>
      <c r="N812" s="4" t="n">
        <v>0.723684210526316</v>
      </c>
      <c r="O812" s="3" t="str">
        <f aca="false">IF(AND(B812=4,M812=1),IF(N812&lt;0.8,"Subgrupo 7 dias; fronteira de cluster","Subgrupo 7 dias"),IF(N812&lt;0.8,"Fronteira de cluster",""))</f>
        <v>Fronteira de cluster</v>
      </c>
    </row>
    <row r="813" customFormat="false" ht="15" hidden="false" customHeight="false" outlineLevel="0" collapsed="false">
      <c r="A813" s="14" t="n">
        <v>812</v>
      </c>
      <c r="B813" s="14" t="n">
        <v>3</v>
      </c>
      <c r="C813" s="14" t="s">
        <v>32</v>
      </c>
      <c r="D813" s="15" t="n">
        <v>6366.77820512821</v>
      </c>
      <c r="E813" s="16" t="n">
        <f aca="false">INDEX(Parâmetros!$C$33:$C$37,MATCH(B813,Parâmetros!$A$33:$A$37,0))</f>
        <v>5909.24487179487</v>
      </c>
      <c r="F813" s="7" t="n">
        <f aca="false">MAX(0,(E813-D813)/D813)</f>
        <v>0</v>
      </c>
      <c r="G813" s="7" t="n">
        <f aca="false">MIN(K813*Parâmetros!$B$19,Parâmetros!$B$8)</f>
        <v>0.0244038339849275</v>
      </c>
      <c r="H813" s="3" t="str">
        <f aca="false">IF(F813&gt;=Parâmetros!$B$6,"Ação","Acompanhamento")</f>
        <v>Acompanhamento</v>
      </c>
      <c r="I813" s="17" t="n">
        <v>302.229299363057</v>
      </c>
      <c r="J813" s="11" t="n">
        <f aca="false">D813*I813</f>
        <v>1924226.91613588</v>
      </c>
      <c r="K813" s="7" t="n">
        <f aca="false">Parâmetros!$B$4+Parâmetros!$B$5*F813</f>
        <v>0.02</v>
      </c>
      <c r="L813" s="11" t="n">
        <f aca="false">D813*(1+G813)</f>
        <v>6522.15200346501</v>
      </c>
      <c r="M813" s="14" t="n">
        <v>0</v>
      </c>
      <c r="N813" s="4" t="n">
        <v>0.746835443037975</v>
      </c>
      <c r="O813" s="3" t="str">
        <f aca="false">IF(AND(B813=4,M813=1),IF(N813&lt;0.8,"Subgrupo 7 dias; fronteira de cluster","Subgrupo 7 dias"),IF(N813&lt;0.8,"Fronteira de cluster",""))</f>
        <v>Fronteira de cluster</v>
      </c>
    </row>
    <row r="814" customFormat="false" ht="15" hidden="false" customHeight="false" outlineLevel="0" collapsed="false">
      <c r="A814" s="14" t="n">
        <v>813</v>
      </c>
      <c r="B814" s="14" t="n">
        <v>4</v>
      </c>
      <c r="C814" s="14" t="s">
        <v>33</v>
      </c>
      <c r="D814" s="15" t="n">
        <v>5810.71428571429</v>
      </c>
      <c r="E814" s="16" t="n">
        <f aca="false">INDEX(Parâmetros!$C$33:$C$37,MATCH(B814,Parâmetros!$A$33:$A$37,0))</f>
        <v>8837.10512820513</v>
      </c>
      <c r="F814" s="7" t="n">
        <f aca="false">MAX(0,(E814-D814)/D814)</f>
        <v>0.520829401289143</v>
      </c>
      <c r="G814" s="7" t="n">
        <f aca="false">MIN(K814*Parâmetros!$B$19,Parâmetros!$B$8)</f>
        <v>0.183281762029045</v>
      </c>
      <c r="H814" s="3" t="str">
        <f aca="false">IF(F814&gt;=Parâmetros!$B$6,"Ação","Acompanhamento")</f>
        <v>Ação</v>
      </c>
      <c r="I814" s="17" t="n">
        <v>301.066878980892</v>
      </c>
      <c r="J814" s="11" t="n">
        <f aca="false">D814*I814</f>
        <v>1749413.61464968</v>
      </c>
      <c r="K814" s="7" t="n">
        <f aca="false">Parâmetros!$B$4+Parâmetros!$B$5*F814</f>
        <v>0.150207350322286</v>
      </c>
      <c r="L814" s="11" t="n">
        <f aca="false">D814*(1+G814)</f>
        <v>6875.71223864734</v>
      </c>
      <c r="M814" s="14" t="n">
        <v>0</v>
      </c>
      <c r="N814" s="4" t="n">
        <v>0.609756097560976</v>
      </c>
      <c r="O814" s="3" t="str">
        <f aca="false">IF(AND(B814=4,M814=1),IF(N814&lt;0.8,"Subgrupo 7 dias; fronteira de cluster","Subgrupo 7 dias"),IF(N814&lt;0.8,"Fronteira de cluster",""))</f>
        <v>Fronteira de cluster</v>
      </c>
    </row>
    <row r="815" customFormat="false" ht="15" hidden="false" customHeight="false" outlineLevel="0" collapsed="false">
      <c r="A815" s="14" t="n">
        <v>814</v>
      </c>
      <c r="B815" s="14" t="n">
        <v>1</v>
      </c>
      <c r="C815" s="14" t="s">
        <v>30</v>
      </c>
      <c r="D815" s="15" t="n">
        <v>8476.76342710997</v>
      </c>
      <c r="E815" s="16" t="n">
        <f aca="false">INDEX(Parâmetros!$C$33:$C$37,MATCH(B815,Parâmetros!$A$33:$A$37,0))</f>
        <v>6959.92435130262</v>
      </c>
      <c r="F815" s="7" t="n">
        <f aca="false">MAX(0,(E815-D815)/D815)</f>
        <v>0</v>
      </c>
      <c r="G815" s="7" t="n">
        <f aca="false">MIN(K815*Parâmetros!$B$19,Parâmetros!$B$8)</f>
        <v>0.0244038339849275</v>
      </c>
      <c r="H815" s="3" t="str">
        <f aca="false">IF(F815&gt;=Parâmetros!$B$6,"Ação","Acompanhamento")</f>
        <v>Acompanhamento</v>
      </c>
      <c r="I815" s="17" t="n">
        <v>303.004246284501</v>
      </c>
      <c r="J815" s="11" t="n">
        <f aca="false">D815*I815</f>
        <v>2568495.31316348</v>
      </c>
      <c r="K815" s="7" t="n">
        <f aca="false">Parâmetros!$B$4+Parâmetros!$B$5*F815</f>
        <v>0.02</v>
      </c>
      <c r="L815" s="11" t="n">
        <f aca="false">D815*(1+G815)</f>
        <v>8683.62895451467</v>
      </c>
      <c r="M815" s="14" t="n">
        <v>0</v>
      </c>
      <c r="N815" s="4" t="n">
        <v>0.975308641975309</v>
      </c>
      <c r="O815" s="3" t="str">
        <f aca="false">IF(AND(B815=4,M815=1),IF(N815&lt;0.8,"Subgrupo 7 dias; fronteira de cluster","Subgrupo 7 dias"),IF(N815&lt;0.8,"Fronteira de cluster",""))</f>
        <v/>
      </c>
    </row>
    <row r="816" customFormat="false" ht="15" hidden="false" customHeight="false" outlineLevel="0" collapsed="false">
      <c r="A816" s="14" t="n">
        <v>815</v>
      </c>
      <c r="B816" s="14" t="n">
        <v>4</v>
      </c>
      <c r="C816" s="14" t="s">
        <v>33</v>
      </c>
      <c r="D816" s="15" t="n">
        <v>8395.83762057878</v>
      </c>
      <c r="E816" s="16" t="n">
        <f aca="false">INDEX(Parâmetros!$C$33:$C$37,MATCH(B816,Parâmetros!$A$33:$A$37,0))</f>
        <v>8837.10512820513</v>
      </c>
      <c r="F816" s="7" t="n">
        <f aca="false">MAX(0,(E816-D816)/D816)</f>
        <v>0.0525578897029609</v>
      </c>
      <c r="G816" s="7" t="n">
        <f aca="false">MIN(K816*Parâmetros!$B$19,Parâmetros!$B$8)</f>
        <v>0.0404365091712923</v>
      </c>
      <c r="H816" s="3" t="str">
        <f aca="false">IF(F816&gt;=Parâmetros!$B$6,"Ação","Acompanhamento")</f>
        <v>Acompanhamento</v>
      </c>
      <c r="I816" s="17" t="n">
        <v>299.511873350924</v>
      </c>
      <c r="J816" s="11" t="n">
        <f aca="false">D816*I816</f>
        <v>2514653.05408971</v>
      </c>
      <c r="K816" s="7" t="n">
        <f aca="false">Parâmetros!$B$4+Parâmetros!$B$5*F816</f>
        <v>0.0331394724257402</v>
      </c>
      <c r="L816" s="11" t="n">
        <f aca="false">D816*(1+G816)</f>
        <v>8735.33598552399</v>
      </c>
      <c r="M816" s="14" t="n">
        <v>0</v>
      </c>
      <c r="N816" s="4" t="n">
        <v>1</v>
      </c>
      <c r="O816" s="3" t="str">
        <f aca="false">IF(AND(B816=4,M816=1),IF(N816&lt;0.8,"Subgrupo 7 dias; fronteira de cluster","Subgrupo 7 dias"),IF(N816&lt;0.8,"Fronteira de cluster",""))</f>
        <v/>
      </c>
    </row>
    <row r="817" customFormat="false" ht="15" hidden="false" customHeight="false" outlineLevel="0" collapsed="false">
      <c r="A817" s="14" t="n">
        <v>816</v>
      </c>
      <c r="B817" s="14" t="n">
        <v>0</v>
      </c>
      <c r="C817" s="14" t="s">
        <v>29</v>
      </c>
      <c r="D817" s="15" t="n">
        <v>5133.07702182285</v>
      </c>
      <c r="E817" s="16" t="n">
        <f aca="false">INDEX(Parâmetros!$C$33:$C$37,MATCH(B817,Parâmetros!$A$33:$A$37,0))</f>
        <v>5476.37033462034</v>
      </c>
      <c r="F817" s="7" t="n">
        <f aca="false">MAX(0,(E817-D817)/D817)</f>
        <v>0.0668786599807487</v>
      </c>
      <c r="G817" s="7" t="n">
        <f aca="false">MIN(K817*Parâmetros!$B$19,Parâmetros!$B$8)</f>
        <v>0.044805030426235</v>
      </c>
      <c r="H817" s="3" t="str">
        <f aca="false">IF(F817&gt;=Parâmetros!$B$6,"Ação","Acompanhamento")</f>
        <v>Acompanhamento</v>
      </c>
      <c r="I817" s="17" t="n">
        <v>301.841825902336</v>
      </c>
      <c r="J817" s="11" t="n">
        <f aca="false">D817*I817</f>
        <v>1549377.34076433</v>
      </c>
      <c r="K817" s="7" t="n">
        <f aca="false">Parâmetros!$B$4+Parâmetros!$B$5*F817</f>
        <v>0.0367196649951872</v>
      </c>
      <c r="L817" s="11" t="n">
        <f aca="false">D817*(1+G817)</f>
        <v>5363.06469396583</v>
      </c>
      <c r="M817" s="14" t="n">
        <v>0</v>
      </c>
      <c r="N817" s="4" t="n">
        <v>0.972602739726027</v>
      </c>
      <c r="O817" s="3" t="str">
        <f aca="false">IF(AND(B817=4,M817=1),IF(N817&lt;0.8,"Subgrupo 7 dias; fronteira de cluster","Subgrupo 7 dias"),IF(N817&lt;0.8,"Fronteira de cluster",""))</f>
        <v/>
      </c>
    </row>
    <row r="818" customFormat="false" ht="15" hidden="false" customHeight="false" outlineLevel="0" collapsed="false">
      <c r="A818" s="14" t="n">
        <v>817</v>
      </c>
      <c r="B818" s="14" t="n">
        <v>4</v>
      </c>
      <c r="C818" s="14" t="s">
        <v>33</v>
      </c>
      <c r="D818" s="15" t="n">
        <v>21757.4834183674</v>
      </c>
      <c r="E818" s="16" t="n">
        <f aca="false">INDEX(Parâmetros!$C$33:$C$37,MATCH(B818,Parâmetros!$A$33:$A$37,0))</f>
        <v>8837.10512820513</v>
      </c>
      <c r="F818" s="7" t="n">
        <f aca="false">MAX(0,(E818-D818)/D818)</f>
        <v>0</v>
      </c>
      <c r="G818" s="7" t="n">
        <f aca="false">MIN(K818*Parâmetros!$B$19,Parâmetros!$B$8)</f>
        <v>0.0244038339849275</v>
      </c>
      <c r="H818" s="3" t="str">
        <f aca="false">IF(F818&gt;=Parâmetros!$B$6,"Ação","Acompanhamento")</f>
        <v>Acompanhamento</v>
      </c>
      <c r="I818" s="17" t="n">
        <v>303.779193205945</v>
      </c>
      <c r="J818" s="11" t="n">
        <f aca="false">D818*I818</f>
        <v>6609470.75902336</v>
      </c>
      <c r="K818" s="7" t="n">
        <f aca="false">Parâmetros!$B$4+Parâmetros!$B$5*F818</f>
        <v>0.02</v>
      </c>
      <c r="L818" s="11" t="n">
        <f aca="false">D818*(1+G818)</f>
        <v>22288.449431639</v>
      </c>
      <c r="M818" s="14" t="n">
        <v>0</v>
      </c>
      <c r="N818" s="4" t="n">
        <v>1</v>
      </c>
      <c r="O818" s="3" t="str">
        <f aca="false">IF(AND(B818=4,M818=1),IF(N818&lt;0.8,"Subgrupo 7 dias; fronteira de cluster","Subgrupo 7 dias"),IF(N818&lt;0.8,"Fronteira de cluster",""))</f>
        <v/>
      </c>
    </row>
    <row r="819" customFormat="false" ht="15" hidden="false" customHeight="false" outlineLevel="0" collapsed="false">
      <c r="A819" s="14" t="n">
        <v>818</v>
      </c>
      <c r="B819" s="14" t="n">
        <v>0</v>
      </c>
      <c r="C819" s="14" t="s">
        <v>29</v>
      </c>
      <c r="D819" s="15" t="n">
        <v>6110.57234314981</v>
      </c>
      <c r="E819" s="16" t="n">
        <f aca="false">INDEX(Parâmetros!$C$33:$C$37,MATCH(B819,Parâmetros!$A$33:$A$37,0))</f>
        <v>5476.37033462034</v>
      </c>
      <c r="F819" s="7" t="n">
        <f aca="false">MAX(0,(E819-D819)/D819)</f>
        <v>0</v>
      </c>
      <c r="G819" s="7" t="n">
        <f aca="false">MIN(K819*Parâmetros!$B$19,Parâmetros!$B$8)</f>
        <v>0.0244038339849275</v>
      </c>
      <c r="H819" s="3" t="str">
        <f aca="false">IF(F819&gt;=Parâmetros!$B$6,"Ação","Acompanhamento")</f>
        <v>Acompanhamento</v>
      </c>
      <c r="I819" s="17" t="n">
        <v>302.616772823779</v>
      </c>
      <c r="J819" s="11" t="n">
        <f aca="false">D819*I819</f>
        <v>1849161.68259023</v>
      </c>
      <c r="K819" s="7" t="n">
        <f aca="false">Parâmetros!$B$4+Parâmetros!$B$5*F819</f>
        <v>0.02</v>
      </c>
      <c r="L819" s="11" t="n">
        <f aca="false">D819*(1+G819)</f>
        <v>6259.69373616493</v>
      </c>
      <c r="M819" s="14" t="n">
        <v>0</v>
      </c>
      <c r="N819" s="4" t="n">
        <v>0.973684210526316</v>
      </c>
      <c r="O819" s="3" t="str">
        <f aca="false">IF(AND(B819=4,M819=1),IF(N819&lt;0.8,"Subgrupo 7 dias; fronteira de cluster","Subgrupo 7 dias"),IF(N819&lt;0.8,"Fronteira de cluster",""))</f>
        <v/>
      </c>
    </row>
    <row r="820" customFormat="false" ht="15" hidden="false" customHeight="false" outlineLevel="0" collapsed="false">
      <c r="A820" s="14" t="n">
        <v>819</v>
      </c>
      <c r="B820" s="14" t="n">
        <v>1</v>
      </c>
      <c r="C820" s="14" t="s">
        <v>30</v>
      </c>
      <c r="D820" s="15" t="n">
        <v>6091.10076530612</v>
      </c>
      <c r="E820" s="16" t="n">
        <f aca="false">INDEX(Parâmetros!$C$33:$C$37,MATCH(B820,Parâmetros!$A$33:$A$37,0))</f>
        <v>6959.92435130262</v>
      </c>
      <c r="F820" s="7" t="n">
        <f aca="false">MAX(0,(E820-D820)/D820)</f>
        <v>0.142638189626606</v>
      </c>
      <c r="G820" s="7" t="n">
        <f aca="false">MIN(K820*Parâmetros!$B$19,Parâmetros!$B$8)</f>
        <v>0.0679153177294061</v>
      </c>
      <c r="H820" s="3" t="str">
        <f aca="false">IF(F820&gt;=Parâmetros!$B$6,"Ação","Acompanhamento")</f>
        <v>Ação</v>
      </c>
      <c r="I820" s="17" t="n">
        <v>303.779193205945</v>
      </c>
      <c r="J820" s="11" t="n">
        <f aca="false">D820*I820</f>
        <v>1850349.67622081</v>
      </c>
      <c r="K820" s="7" t="n">
        <f aca="false">Parâmetros!$B$4+Parâmetros!$B$5*F820</f>
        <v>0.0556595474066515</v>
      </c>
      <c r="L820" s="11" t="n">
        <f aca="false">D820*(1+G820)</f>
        <v>6504.77980910372</v>
      </c>
      <c r="M820" s="14" t="n">
        <v>0</v>
      </c>
      <c r="N820" s="4" t="n">
        <v>0.95</v>
      </c>
      <c r="O820" s="3" t="str">
        <f aca="false">IF(AND(B820=4,M820=1),IF(N820&lt;0.8,"Subgrupo 7 dias; fronteira de cluster","Subgrupo 7 dias"),IF(N820&lt;0.8,"Fronteira de cluster",""))</f>
        <v/>
      </c>
    </row>
    <row r="821" customFormat="false" ht="15" hidden="false" customHeight="false" outlineLevel="0" collapsed="false">
      <c r="A821" s="14" t="n">
        <v>820</v>
      </c>
      <c r="B821" s="14" t="n">
        <v>4</v>
      </c>
      <c r="C821" s="14" t="s">
        <v>33</v>
      </c>
      <c r="D821" s="15" t="n">
        <v>12085.8504823151</v>
      </c>
      <c r="E821" s="16" t="n">
        <f aca="false">INDEX(Parâmetros!$C$33:$C$37,MATCH(B821,Parâmetros!$A$33:$A$37,0))</f>
        <v>8837.10512820513</v>
      </c>
      <c r="F821" s="7" t="n">
        <f aca="false">MAX(0,(E821-D821)/D821)</f>
        <v>0</v>
      </c>
      <c r="G821" s="7" t="n">
        <f aca="false">MIN(K821*Parâmetros!$B$19,Parâmetros!$B$8)</f>
        <v>0.0244038339849275</v>
      </c>
      <c r="H821" s="3" t="str">
        <f aca="false">IF(F821&gt;=Parâmetros!$B$6,"Ação","Acompanhamento")</f>
        <v>Acompanhamento</v>
      </c>
      <c r="I821" s="17" t="n">
        <v>299.511873350924</v>
      </c>
      <c r="J821" s="11" t="n">
        <f aca="false">D821*I821</f>
        <v>3619855.71899736</v>
      </c>
      <c r="K821" s="7" t="n">
        <f aca="false">Parâmetros!$B$4+Parâmetros!$B$5*F821</f>
        <v>0.02</v>
      </c>
      <c r="L821" s="11" t="n">
        <f aca="false">D821*(1+G821)</f>
        <v>12380.7915710522</v>
      </c>
      <c r="M821" s="14" t="n">
        <v>0</v>
      </c>
      <c r="N821" s="4" t="n">
        <v>0.9875</v>
      </c>
      <c r="O821" s="3" t="str">
        <f aca="false">IF(AND(B821=4,M821=1),IF(N821&lt;0.8,"Subgrupo 7 dias; fronteira de cluster","Subgrupo 7 dias"),IF(N821&lt;0.8,"Fronteira de cluster",""))</f>
        <v/>
      </c>
    </row>
    <row r="822" customFormat="false" ht="15" hidden="false" customHeight="false" outlineLevel="0" collapsed="false">
      <c r="A822" s="14" t="n">
        <v>821</v>
      </c>
      <c r="B822" s="14" t="n">
        <v>0</v>
      </c>
      <c r="C822" s="14" t="s">
        <v>29</v>
      </c>
      <c r="D822" s="15" t="n">
        <v>6937.49107142857</v>
      </c>
      <c r="E822" s="16" t="n">
        <f aca="false">INDEX(Parâmetros!$C$33:$C$37,MATCH(B822,Parâmetros!$A$33:$A$37,0))</f>
        <v>5476.37033462034</v>
      </c>
      <c r="F822" s="7" t="n">
        <f aca="false">MAX(0,(E822-D822)/D822)</f>
        <v>0</v>
      </c>
      <c r="G822" s="7" t="n">
        <f aca="false">MIN(K822*Parâmetros!$B$19,Parâmetros!$B$8)</f>
        <v>0.0244038339849275</v>
      </c>
      <c r="H822" s="3" t="str">
        <f aca="false">IF(F822&gt;=Parâmetros!$B$6,"Ação","Acompanhamento")</f>
        <v>Acompanhamento</v>
      </c>
      <c r="I822" s="17" t="n">
        <v>303.779193205945</v>
      </c>
      <c r="J822" s="11" t="n">
        <f aca="false">D822*I822</f>
        <v>2107465.44055202</v>
      </c>
      <c r="K822" s="7" t="n">
        <f aca="false">Parâmetros!$B$4+Parâmetros!$B$5*F822</f>
        <v>0.02</v>
      </c>
      <c r="L822" s="11" t="n">
        <f aca="false">D822*(1+G822)</f>
        <v>7106.79245180763</v>
      </c>
      <c r="M822" s="14" t="n">
        <v>0</v>
      </c>
      <c r="N822" s="4" t="n">
        <v>1</v>
      </c>
      <c r="O822" s="3" t="str">
        <f aca="false">IF(AND(B822=4,M822=1),IF(N822&lt;0.8,"Subgrupo 7 dias; fronteira de cluster","Subgrupo 7 dias"),IF(N822&lt;0.8,"Fronteira de cluster",""))</f>
        <v/>
      </c>
    </row>
    <row r="823" customFormat="false" ht="15" hidden="false" customHeight="false" outlineLevel="0" collapsed="false">
      <c r="A823" s="14" t="n">
        <v>822</v>
      </c>
      <c r="B823" s="14" t="n">
        <v>1</v>
      </c>
      <c r="C823" s="14" t="s">
        <v>30</v>
      </c>
      <c r="D823" s="15" t="n">
        <v>7737.66454081633</v>
      </c>
      <c r="E823" s="16" t="n">
        <f aca="false">INDEX(Parâmetros!$C$33:$C$37,MATCH(B823,Parâmetros!$A$33:$A$37,0))</f>
        <v>6959.92435130262</v>
      </c>
      <c r="F823" s="7" t="n">
        <f aca="false">MAX(0,(E823-D823)/D823)</f>
        <v>0</v>
      </c>
      <c r="G823" s="7" t="n">
        <f aca="false">MIN(K823*Parâmetros!$B$19,Parâmetros!$B$8)</f>
        <v>0.0244038339849275</v>
      </c>
      <c r="H823" s="3" t="str">
        <f aca="false">IF(F823&gt;=Parâmetros!$B$6,"Ação","Acompanhamento")</f>
        <v>Acompanhamento</v>
      </c>
      <c r="I823" s="17" t="n">
        <v>303.779193205945</v>
      </c>
      <c r="J823" s="11" t="n">
        <f aca="false">D823*I823</f>
        <v>2350541.49150743</v>
      </c>
      <c r="K823" s="7" t="n">
        <f aca="false">Parâmetros!$B$4+Parâmetros!$B$5*F823</f>
        <v>0.02</v>
      </c>
      <c r="L823" s="11" t="n">
        <f aca="false">D823*(1+G823)</f>
        <v>7926.49322170147</v>
      </c>
      <c r="M823" s="14" t="n">
        <v>0</v>
      </c>
      <c r="N823" s="4" t="n">
        <v>1</v>
      </c>
      <c r="O823" s="3" t="str">
        <f aca="false">IF(AND(B823=4,M823=1),IF(N823&lt;0.8,"Subgrupo 7 dias; fronteira de cluster","Subgrupo 7 dias"),IF(N823&lt;0.8,"Fronteira de cluster",""))</f>
        <v/>
      </c>
    </row>
    <row r="824" customFormat="false" ht="15" hidden="false" customHeight="false" outlineLevel="0" collapsed="false">
      <c r="A824" s="14" t="n">
        <v>823</v>
      </c>
      <c r="B824" s="14" t="n">
        <v>1</v>
      </c>
      <c r="C824" s="14" t="s">
        <v>30</v>
      </c>
      <c r="D824" s="15" t="n">
        <v>5802.38392857143</v>
      </c>
      <c r="E824" s="16" t="n">
        <f aca="false">INDEX(Parâmetros!$C$33:$C$37,MATCH(B824,Parâmetros!$A$33:$A$37,0))</f>
        <v>6959.92435130262</v>
      </c>
      <c r="F824" s="7" t="n">
        <f aca="false">MAX(0,(E824-D824)/D824)</f>
        <v>0.199493938522642</v>
      </c>
      <c r="G824" s="7" t="n">
        <f aca="false">MIN(K824*Parâmetros!$B$19,Parâmetros!$B$8)</f>
        <v>0.0852590459437508</v>
      </c>
      <c r="H824" s="3" t="str">
        <f aca="false">IF(F824&gt;=Parâmetros!$B$6,"Ação","Acompanhamento")</f>
        <v>Ação</v>
      </c>
      <c r="I824" s="17" t="n">
        <v>303.779193205945</v>
      </c>
      <c r="J824" s="11" t="n">
        <f aca="false">D824*I824</f>
        <v>1762643.50849257</v>
      </c>
      <c r="K824" s="7" t="n">
        <f aca="false">Parâmetros!$B$4+Parâmetros!$B$5*F824</f>
        <v>0.0698734846306604</v>
      </c>
      <c r="L824" s="11" t="n">
        <f aca="false">D824*(1+G824)</f>
        <v>6297.08964652078</v>
      </c>
      <c r="M824" s="14" t="n">
        <v>0</v>
      </c>
      <c r="N824" s="4" t="n">
        <v>0.986666666666667</v>
      </c>
      <c r="O824" s="3" t="str">
        <f aca="false">IF(AND(B824=4,M824=1),IF(N824&lt;0.8,"Subgrupo 7 dias; fronteira de cluster","Subgrupo 7 dias"),IF(N824&lt;0.8,"Fronteira de cluster",""))</f>
        <v/>
      </c>
    </row>
    <row r="825" customFormat="false" ht="15" hidden="false" customHeight="false" outlineLevel="0" collapsed="false">
      <c r="A825" s="14" t="n">
        <v>824</v>
      </c>
      <c r="B825" s="14" t="n">
        <v>2</v>
      </c>
      <c r="C825" s="14" t="s">
        <v>31</v>
      </c>
      <c r="D825" s="15" t="n">
        <v>6834.3125</v>
      </c>
      <c r="E825" s="16" t="n">
        <f aca="false">INDEX(Parâmetros!$C$33:$C$37,MATCH(B825,Parâmetros!$A$33:$A$37,0))</f>
        <v>6324.80102695764</v>
      </c>
      <c r="F825" s="7" t="n">
        <f aca="false">MAX(0,(E825-D825)/D825)</f>
        <v>0</v>
      </c>
      <c r="G825" s="7" t="n">
        <f aca="false">MIN(K825*Parâmetros!$B$19,Parâmetros!$B$8)</f>
        <v>0.0244038339849275</v>
      </c>
      <c r="H825" s="3" t="str">
        <f aca="false">IF(F825&gt;=Parâmetros!$B$6,"Ação","Acompanhamento")</f>
        <v>Acompanhamento</v>
      </c>
      <c r="I825" s="17" t="n">
        <v>303.779193205945</v>
      </c>
      <c r="J825" s="11" t="n">
        <f aca="false">D825*I825</f>
        <v>2076121.9373673</v>
      </c>
      <c r="K825" s="7" t="n">
        <f aca="false">Parâmetros!$B$4+Parâmetros!$B$5*F825</f>
        <v>0.02</v>
      </c>
      <c r="L825" s="11" t="n">
        <f aca="false">D825*(1+G825)</f>
        <v>7001.09592765112</v>
      </c>
      <c r="M825" s="14" t="n">
        <v>0</v>
      </c>
      <c r="N825" s="4" t="n">
        <v>0.962962962962963</v>
      </c>
      <c r="O825" s="3" t="str">
        <f aca="false">IF(AND(B825=4,M825=1),IF(N825&lt;0.8,"Subgrupo 7 dias; fronteira de cluster","Subgrupo 7 dias"),IF(N825&lt;0.8,"Fronteira de cluster",""))</f>
        <v/>
      </c>
    </row>
    <row r="826" customFormat="false" ht="15" hidden="false" customHeight="false" outlineLevel="0" collapsed="false">
      <c r="A826" s="14" t="n">
        <v>825</v>
      </c>
      <c r="B826" s="14" t="n">
        <v>0</v>
      </c>
      <c r="C826" s="14" t="s">
        <v>29</v>
      </c>
      <c r="D826" s="15" t="n">
        <v>4562.92122186495</v>
      </c>
      <c r="E826" s="16" t="n">
        <f aca="false">INDEX(Parâmetros!$C$33:$C$37,MATCH(B826,Parâmetros!$A$33:$A$37,0))</f>
        <v>5476.37033462034</v>
      </c>
      <c r="F826" s="7" t="n">
        <f aca="false">MAX(0,(E826-D826)/D826)</f>
        <v>0.200189542694327</v>
      </c>
      <c r="G826" s="7" t="n">
        <f aca="false">MIN(K826*Parâmetros!$B$19,Parâmetros!$B$8)</f>
        <v>0.0854712385528136</v>
      </c>
      <c r="H826" s="3" t="str">
        <f aca="false">IF(F826&gt;=Parâmetros!$B$6,"Ação","Acompanhamento")</f>
        <v>Ação</v>
      </c>
      <c r="I826" s="17" t="n">
        <v>299.511873350924</v>
      </c>
      <c r="J826" s="11" t="n">
        <f aca="false">D826*I826</f>
        <v>1366649.08311346</v>
      </c>
      <c r="K826" s="7" t="n">
        <f aca="false">Parâmetros!$B$4+Parâmetros!$B$5*F826</f>
        <v>0.0700473856735817</v>
      </c>
      <c r="L826" s="11" t="n">
        <f aca="false">D826*(1+G826)</f>
        <v>4952.91975011667</v>
      </c>
      <c r="M826" s="14" t="n">
        <v>0</v>
      </c>
      <c r="N826" s="4" t="n">
        <v>0.8</v>
      </c>
      <c r="O826" s="3" t="str">
        <f aca="false">IF(AND(B826=4,M826=1),IF(N826&lt;0.8,"Subgrupo 7 dias; fronteira de cluster","Subgrupo 7 dias"),IF(N826&lt;0.8,"Fronteira de cluster",""))</f>
        <v/>
      </c>
    </row>
    <row r="827" customFormat="false" ht="15" hidden="false" customHeight="false" outlineLevel="0" collapsed="false">
      <c r="A827" s="14" t="n">
        <v>826</v>
      </c>
      <c r="B827" s="14" t="n">
        <v>1</v>
      </c>
      <c r="C827" s="14" t="s">
        <v>30</v>
      </c>
      <c r="D827" s="15" t="n">
        <v>8839.1868556701</v>
      </c>
      <c r="E827" s="16" t="n">
        <f aca="false">INDEX(Parâmetros!$C$33:$C$37,MATCH(B827,Parâmetros!$A$33:$A$37,0))</f>
        <v>6959.92435130262</v>
      </c>
      <c r="F827" s="7" t="n">
        <f aca="false">MAX(0,(E827-D827)/D827)</f>
        <v>0</v>
      </c>
      <c r="G827" s="7" t="n">
        <f aca="false">MIN(K827*Parâmetros!$B$19,Parâmetros!$B$8)</f>
        <v>0.0244038339849275</v>
      </c>
      <c r="H827" s="3" t="str">
        <f aca="false">IF(F827&gt;=Parâmetros!$B$6,"Ação","Acompanhamento")</f>
        <v>Acompanhamento</v>
      </c>
      <c r="I827" s="17" t="n">
        <v>300.67940552017</v>
      </c>
      <c r="J827" s="11" t="n">
        <f aca="false">D827*I827</f>
        <v>2657761.44904459</v>
      </c>
      <c r="K827" s="7" t="n">
        <f aca="false">Parâmetros!$B$4+Parâmetros!$B$5*F827</f>
        <v>0.02</v>
      </c>
      <c r="L827" s="11" t="n">
        <f aca="false">D827*(1+G827)</f>
        <v>9054.89690425763</v>
      </c>
      <c r="M827" s="14" t="n">
        <v>0</v>
      </c>
      <c r="N827" s="4" t="n">
        <v>1</v>
      </c>
      <c r="O827" s="3" t="str">
        <f aca="false">IF(AND(B827=4,M827=1),IF(N827&lt;0.8,"Subgrupo 7 dias; fronteira de cluster","Subgrupo 7 dias"),IF(N827&lt;0.8,"Fronteira de cluster",""))</f>
        <v/>
      </c>
    </row>
    <row r="828" customFormat="false" ht="15" hidden="false" customHeight="false" outlineLevel="0" collapsed="false">
      <c r="A828" s="14" t="n">
        <v>827</v>
      </c>
      <c r="B828" s="14" t="n">
        <v>4</v>
      </c>
      <c r="C828" s="14" t="s">
        <v>33</v>
      </c>
      <c r="D828" s="15" t="n">
        <v>12771.6653895275</v>
      </c>
      <c r="E828" s="16" t="n">
        <f aca="false">INDEX(Parâmetros!$C$33:$C$37,MATCH(B828,Parâmetros!$A$33:$A$37,0))</f>
        <v>8837.10512820513</v>
      </c>
      <c r="F828" s="7" t="n">
        <f aca="false">MAX(0,(E828-D828)/D828)</f>
        <v>0</v>
      </c>
      <c r="G828" s="7" t="n">
        <f aca="false">MIN(K828*Parâmetros!$B$19,Parâmetros!$B$8)</f>
        <v>0.0244038339849275</v>
      </c>
      <c r="H828" s="3" t="str">
        <f aca="false">IF(F828&gt;=Parâmetros!$B$6,"Ação","Acompanhamento")</f>
        <v>Acompanhamento</v>
      </c>
      <c r="I828" s="17" t="n">
        <v>303.391719745223</v>
      </c>
      <c r="J828" s="11" t="n">
        <f aca="false">D828*I828</f>
        <v>3874817.52653928</v>
      </c>
      <c r="K828" s="7" t="n">
        <f aca="false">Parâmetros!$B$4+Parâmetros!$B$5*F828</f>
        <v>0.02</v>
      </c>
      <c r="L828" s="11" t="n">
        <f aca="false">D828*(1+G828)</f>
        <v>13083.3429914045</v>
      </c>
      <c r="M828" s="14" t="n">
        <v>0</v>
      </c>
      <c r="N828" s="4" t="n">
        <v>0.975</v>
      </c>
      <c r="O828" s="3" t="str">
        <f aca="false">IF(AND(B828=4,M828=1),IF(N828&lt;0.8,"Subgrupo 7 dias; fronteira de cluster","Subgrupo 7 dias"),IF(N828&lt;0.8,"Fronteira de cluster",""))</f>
        <v/>
      </c>
    </row>
    <row r="829" customFormat="false" ht="15" hidden="false" customHeight="false" outlineLevel="0" collapsed="false">
      <c r="A829" s="14" t="n">
        <v>828</v>
      </c>
      <c r="B829" s="14" t="n">
        <v>3</v>
      </c>
      <c r="C829" s="14" t="s">
        <v>32</v>
      </c>
      <c r="D829" s="15" t="n">
        <v>5199.94615384615</v>
      </c>
      <c r="E829" s="16" t="n">
        <f aca="false">INDEX(Parâmetros!$C$33:$C$37,MATCH(B829,Parâmetros!$A$33:$A$37,0))</f>
        <v>5909.24487179487</v>
      </c>
      <c r="F829" s="7" t="n">
        <f aca="false">MAX(0,(E829-D829)/D829)</f>
        <v>0.136405012083459</v>
      </c>
      <c r="G829" s="7" t="n">
        <f aca="false">MIN(K829*Parâmetros!$B$19,Parâmetros!$B$8)</f>
        <v>0.0660138998548868</v>
      </c>
      <c r="H829" s="3" t="str">
        <f aca="false">IF(F829&gt;=Parâmetros!$B$6,"Ação","Acompanhamento")</f>
        <v>Ação</v>
      </c>
      <c r="I829" s="17" t="n">
        <v>302.229299363057</v>
      </c>
      <c r="J829" s="11" t="n">
        <f aca="false">D829*I829</f>
        <v>1571576.08280255</v>
      </c>
      <c r="K829" s="7" t="n">
        <f aca="false">Parâmetros!$B$4+Parâmetros!$B$5*F829</f>
        <v>0.0541012530208646</v>
      </c>
      <c r="L829" s="11" t="n">
        <f aca="false">D829*(1+G829)</f>
        <v>5543.21487849696</v>
      </c>
      <c r="M829" s="14" t="n">
        <v>0</v>
      </c>
      <c r="N829" s="4" t="n">
        <v>0.95</v>
      </c>
      <c r="O829" s="3" t="str">
        <f aca="false">IF(AND(B829=4,M829=1),IF(N829&lt;0.8,"Subgrupo 7 dias; fronteira de cluster","Subgrupo 7 dias"),IF(N829&lt;0.8,"Fronteira de cluster",""))</f>
        <v/>
      </c>
    </row>
    <row r="830" customFormat="false" ht="15" hidden="false" customHeight="false" outlineLevel="0" collapsed="false">
      <c r="A830" s="14" t="n">
        <v>829</v>
      </c>
      <c r="B830" s="14" t="n">
        <v>0</v>
      </c>
      <c r="C830" s="14" t="s">
        <v>29</v>
      </c>
      <c r="D830" s="15" t="n">
        <v>5920.66965428937</v>
      </c>
      <c r="E830" s="16" t="n">
        <f aca="false">INDEX(Parâmetros!$C$33:$C$37,MATCH(B830,Parâmetros!$A$33:$A$37,0))</f>
        <v>5476.37033462034</v>
      </c>
      <c r="F830" s="7" t="n">
        <f aca="false">MAX(0,(E830-D830)/D830)</f>
        <v>0</v>
      </c>
      <c r="G830" s="7" t="n">
        <f aca="false">MIN(K830*Parâmetros!$B$19,Parâmetros!$B$8)</f>
        <v>0.0244038339849275</v>
      </c>
      <c r="H830" s="3" t="str">
        <f aca="false">IF(F830&gt;=Parâmetros!$B$6,"Ação","Acompanhamento")</f>
        <v>Acompanhamento</v>
      </c>
      <c r="I830" s="17" t="n">
        <v>302.616772823779</v>
      </c>
      <c r="J830" s="11" t="n">
        <f aca="false">D830*I830</f>
        <v>1791693.94373673</v>
      </c>
      <c r="K830" s="7" t="n">
        <f aca="false">Parâmetros!$B$4+Parâmetros!$B$5*F830</f>
        <v>0.02</v>
      </c>
      <c r="L830" s="11" t="n">
        <f aca="false">D830*(1+G830)</f>
        <v>6065.15669361225</v>
      </c>
      <c r="M830" s="14" t="n">
        <v>0</v>
      </c>
      <c r="N830" s="4" t="n">
        <v>0.94047619047619</v>
      </c>
      <c r="O830" s="3" t="str">
        <f aca="false">IF(AND(B830=4,M830=1),IF(N830&lt;0.8,"Subgrupo 7 dias; fronteira de cluster","Subgrupo 7 dias"),IF(N830&lt;0.8,"Fronteira de cluster",""))</f>
        <v/>
      </c>
    </row>
    <row r="831" customFormat="false" ht="15" hidden="false" customHeight="false" outlineLevel="0" collapsed="false">
      <c r="A831" s="14" t="n">
        <v>830</v>
      </c>
      <c r="B831" s="14" t="n">
        <v>3</v>
      </c>
      <c r="C831" s="14" t="s">
        <v>32</v>
      </c>
      <c r="D831" s="15" t="n">
        <v>6174.87948717949</v>
      </c>
      <c r="E831" s="16" t="n">
        <f aca="false">INDEX(Parâmetros!$C$33:$C$37,MATCH(B831,Parâmetros!$A$33:$A$37,0))</f>
        <v>5909.24487179487</v>
      </c>
      <c r="F831" s="7" t="n">
        <f aca="false">MAX(0,(E831-D831)/D831)</f>
        <v>0</v>
      </c>
      <c r="G831" s="7" t="n">
        <f aca="false">MIN(K831*Parâmetros!$B$19,Parâmetros!$B$8)</f>
        <v>0.0244038339849275</v>
      </c>
      <c r="H831" s="3" t="str">
        <f aca="false">IF(F831&gt;=Parâmetros!$B$6,"Ação","Acompanhamento")</f>
        <v>Acompanhamento</v>
      </c>
      <c r="I831" s="17" t="n">
        <v>302.229299363057</v>
      </c>
      <c r="J831" s="11" t="n">
        <f aca="false">D831*I831</f>
        <v>1866229.50106157</v>
      </c>
      <c r="K831" s="7" t="n">
        <f aca="false">Parâmetros!$B$4+Parâmetros!$B$5*F831</f>
        <v>0.02</v>
      </c>
      <c r="L831" s="11" t="n">
        <f aca="false">D831*(1+G831)</f>
        <v>6325.57022106155</v>
      </c>
      <c r="M831" s="14" t="n">
        <v>0</v>
      </c>
      <c r="N831" s="4" t="n">
        <v>1</v>
      </c>
      <c r="O831" s="3" t="str">
        <f aca="false">IF(AND(B831=4,M831=1),IF(N831&lt;0.8,"Subgrupo 7 dias; fronteira de cluster","Subgrupo 7 dias"),IF(N831&lt;0.8,"Fronteira de cluster",""))</f>
        <v/>
      </c>
    </row>
    <row r="832" customFormat="false" ht="15" hidden="false" customHeight="false" outlineLevel="0" collapsed="false">
      <c r="A832" s="14" t="n">
        <v>831</v>
      </c>
      <c r="B832" s="14" t="n">
        <v>4</v>
      </c>
      <c r="C832" s="14" t="s">
        <v>33</v>
      </c>
      <c r="D832" s="15" t="n">
        <v>12689.0025673941</v>
      </c>
      <c r="E832" s="16" t="n">
        <f aca="false">INDEX(Parâmetros!$C$33:$C$37,MATCH(B832,Parâmetros!$A$33:$A$37,0))</f>
        <v>8837.10512820513</v>
      </c>
      <c r="F832" s="7" t="n">
        <f aca="false">MAX(0,(E832-D832)/D832)</f>
        <v>0</v>
      </c>
      <c r="G832" s="7" t="n">
        <f aca="false">MIN(K832*Parâmetros!$B$19,Parâmetros!$B$8)</f>
        <v>0.0244038339849275</v>
      </c>
      <c r="H832" s="3" t="str">
        <f aca="false">IF(F832&gt;=Parâmetros!$B$6,"Ação","Acompanhamento")</f>
        <v>Acompanhamento</v>
      </c>
      <c r="I832" s="17" t="n">
        <v>301.841825902336</v>
      </c>
      <c r="J832" s="11" t="n">
        <f aca="false">D832*I832</f>
        <v>3830071.70382166</v>
      </c>
      <c r="K832" s="7" t="n">
        <f aca="false">Parâmetros!$B$4+Parâmetros!$B$5*F832</f>
        <v>0.02</v>
      </c>
      <c r="L832" s="11" t="n">
        <f aca="false">D832*(1+G832)</f>
        <v>12998.6628794831</v>
      </c>
      <c r="M832" s="14" t="n">
        <v>0</v>
      </c>
      <c r="N832" s="4" t="n">
        <v>0.975</v>
      </c>
      <c r="O832" s="3" t="str">
        <f aca="false">IF(AND(B832=4,M832=1),IF(N832&lt;0.8,"Subgrupo 7 dias; fronteira de cluster","Subgrupo 7 dias"),IF(N832&lt;0.8,"Fronteira de cluster",""))</f>
        <v/>
      </c>
    </row>
    <row r="833" customFormat="false" ht="15" hidden="false" customHeight="false" outlineLevel="0" collapsed="false">
      <c r="A833" s="14" t="n">
        <v>832</v>
      </c>
      <c r="B833" s="14" t="n">
        <v>1</v>
      </c>
      <c r="C833" s="14" t="s">
        <v>30</v>
      </c>
      <c r="D833" s="15" t="n">
        <v>6550.29321382843</v>
      </c>
      <c r="E833" s="16" t="n">
        <f aca="false">INDEX(Parâmetros!$C$33:$C$37,MATCH(B833,Parâmetros!$A$33:$A$37,0))</f>
        <v>6959.92435130262</v>
      </c>
      <c r="F833" s="7" t="n">
        <f aca="false">MAX(0,(E833-D833)/D833)</f>
        <v>0.0625363054907859</v>
      </c>
      <c r="G833" s="7" t="n">
        <f aca="false">MIN(K833*Parâmetros!$B$19,Parâmetros!$B$8)</f>
        <v>0.0434804042002755</v>
      </c>
      <c r="H833" s="3" t="str">
        <f aca="false">IF(F833&gt;=Parâmetros!$B$6,"Ação","Acompanhamento")</f>
        <v>Acompanhamento</v>
      </c>
      <c r="I833" s="17" t="n">
        <v>302.616772823779</v>
      </c>
      <c r="J833" s="11" t="n">
        <f aca="false">D833*I833</f>
        <v>1982228.59341826</v>
      </c>
      <c r="K833" s="7" t="n">
        <f aca="false">Parâmetros!$B$4+Parâmetros!$B$5*F833</f>
        <v>0.0356340763726965</v>
      </c>
      <c r="L833" s="11" t="n">
        <f aca="false">D833*(1+G833)</f>
        <v>6835.10261039601</v>
      </c>
      <c r="M833" s="14" t="n">
        <v>0</v>
      </c>
      <c r="N833" s="4" t="n">
        <v>1</v>
      </c>
      <c r="O833" s="3" t="str">
        <f aca="false">IF(AND(B833=4,M833=1),IF(N833&lt;0.8,"Subgrupo 7 dias; fronteira de cluster","Subgrupo 7 dias"),IF(N833&lt;0.8,"Fronteira de cluster",""))</f>
        <v/>
      </c>
    </row>
    <row r="834" customFormat="false" ht="15" hidden="false" customHeight="false" outlineLevel="0" collapsed="false">
      <c r="A834" s="14" t="n">
        <v>833</v>
      </c>
      <c r="B834" s="14" t="n">
        <v>1</v>
      </c>
      <c r="C834" s="14" t="s">
        <v>30</v>
      </c>
      <c r="D834" s="15" t="n">
        <v>5511.35044929397</v>
      </c>
      <c r="E834" s="16" t="n">
        <f aca="false">INDEX(Parâmetros!$C$33:$C$37,MATCH(B834,Parâmetros!$A$33:$A$37,0))</f>
        <v>6959.92435130262</v>
      </c>
      <c r="F834" s="7" t="n">
        <f aca="false">MAX(0,(E834-D834)/D834)</f>
        <v>0.26283465646686</v>
      </c>
      <c r="G834" s="7" t="n">
        <f aca="false">MIN(K834*Parâmetros!$B$19,Parâmetros!$B$8)</f>
        <v>0.104581000508711</v>
      </c>
      <c r="H834" s="3" t="str">
        <f aca="false">IF(F834&gt;=Parâmetros!$B$6,"Ação","Acompanhamento")</f>
        <v>Ação</v>
      </c>
      <c r="I834" s="17" t="n">
        <v>301.841825902336</v>
      </c>
      <c r="J834" s="11" t="n">
        <f aca="false">D834*I834</f>
        <v>1663556.08280255</v>
      </c>
      <c r="K834" s="7" t="n">
        <f aca="false">Parâmetros!$B$4+Parâmetros!$B$5*F834</f>
        <v>0.085708664116715</v>
      </c>
      <c r="L834" s="11" t="n">
        <f aca="false">D834*(1+G834)</f>
        <v>6087.73299343526</v>
      </c>
      <c r="M834" s="14" t="n">
        <v>0</v>
      </c>
      <c r="N834" s="4" t="n">
        <v>1</v>
      </c>
      <c r="O834" s="3" t="str">
        <f aca="false">IF(AND(B834=4,M834=1),IF(N834&lt;0.8,"Subgrupo 7 dias; fronteira de cluster","Subgrupo 7 dias"),IF(N834&lt;0.8,"Fronteira de cluster",""))</f>
        <v/>
      </c>
    </row>
    <row r="835" customFormat="false" ht="15" hidden="false" customHeight="false" outlineLevel="0" collapsed="false">
      <c r="A835" s="14" t="n">
        <v>834</v>
      </c>
      <c r="B835" s="14" t="n">
        <v>0</v>
      </c>
      <c r="C835" s="14" t="s">
        <v>29</v>
      </c>
      <c r="D835" s="15" t="n">
        <v>5868.54209183674</v>
      </c>
      <c r="E835" s="16" t="n">
        <f aca="false">INDEX(Parâmetros!$C$33:$C$37,MATCH(B835,Parâmetros!$A$33:$A$37,0))</f>
        <v>5476.37033462034</v>
      </c>
      <c r="F835" s="7" t="n">
        <f aca="false">MAX(0,(E835-D835)/D835)</f>
        <v>0</v>
      </c>
      <c r="G835" s="7" t="n">
        <f aca="false">MIN(K835*Parâmetros!$B$19,Parâmetros!$B$8)</f>
        <v>0.0244038339849275</v>
      </c>
      <c r="H835" s="3" t="str">
        <f aca="false">IF(F835&gt;=Parâmetros!$B$6,"Ação","Acompanhamento")</f>
        <v>Acompanhamento</v>
      </c>
      <c r="I835" s="17" t="n">
        <v>303.779193205945</v>
      </c>
      <c r="J835" s="11" t="n">
        <f aca="false">D835*I835</f>
        <v>1782740.98195329</v>
      </c>
      <c r="K835" s="7" t="n">
        <f aca="false">Parâmetros!$B$4+Parâmetros!$B$5*F835</f>
        <v>0.02</v>
      </c>
      <c r="L835" s="11" t="n">
        <f aca="false">D835*(1+G835)</f>
        <v>6011.75701877948</v>
      </c>
      <c r="M835" s="14" t="n">
        <v>0</v>
      </c>
      <c r="N835" s="4" t="n">
        <v>0.9875</v>
      </c>
      <c r="O835" s="3" t="str">
        <f aca="false">IF(AND(B835=4,M835=1),IF(N835&lt;0.8,"Subgrupo 7 dias; fronteira de cluster","Subgrupo 7 dias"),IF(N835&lt;0.8,"Fronteira de cluster",""))</f>
        <v/>
      </c>
    </row>
    <row r="836" customFormat="false" ht="15" hidden="false" customHeight="false" outlineLevel="0" collapsed="false">
      <c r="A836" s="14" t="n">
        <v>835</v>
      </c>
      <c r="B836" s="14" t="n">
        <v>0</v>
      </c>
      <c r="C836" s="14" t="s">
        <v>29</v>
      </c>
      <c r="D836" s="15" t="n">
        <v>5188.12646675359</v>
      </c>
      <c r="E836" s="16" t="n">
        <f aca="false">INDEX(Parâmetros!$C$33:$C$37,MATCH(B836,Parâmetros!$A$33:$A$37,0))</f>
        <v>5476.37033462034</v>
      </c>
      <c r="F836" s="7" t="n">
        <f aca="false">MAX(0,(E836-D836)/D836)</f>
        <v>0.0555583734733273</v>
      </c>
      <c r="G836" s="7" t="n">
        <f aca="false">MIN(K836*Parâmetros!$B$19,Parâmetros!$B$8)</f>
        <v>0.0413518005188734</v>
      </c>
      <c r="H836" s="3" t="str">
        <f aca="false">IF(F836&gt;=Parâmetros!$B$6,"Ação","Acompanhamento")</f>
        <v>Acompanhamento</v>
      </c>
      <c r="I836" s="17" t="n">
        <v>297.967091295117</v>
      </c>
      <c r="J836" s="11" t="n">
        <f aca="false">D836*I836</f>
        <v>1545890.95256978</v>
      </c>
      <c r="K836" s="7" t="n">
        <f aca="false">Parâmetros!$B$4+Parâmetros!$B$5*F836</f>
        <v>0.0338895933683318</v>
      </c>
      <c r="L836" s="11" t="n">
        <f aca="false">D836*(1+G836)</f>
        <v>5402.66483747347</v>
      </c>
      <c r="M836" s="14" t="n">
        <v>0</v>
      </c>
      <c r="N836" s="4" t="n">
        <v>1</v>
      </c>
      <c r="O836" s="3" t="str">
        <f aca="false">IF(AND(B836=4,M836=1),IF(N836&lt;0.8,"Subgrupo 7 dias; fronteira de cluster","Subgrupo 7 dias"),IF(N836&lt;0.8,"Fronteira de cluster",""))</f>
        <v/>
      </c>
    </row>
    <row r="837" customFormat="false" ht="15" hidden="false" customHeight="false" outlineLevel="0" collapsed="false">
      <c r="A837" s="14" t="n">
        <v>836</v>
      </c>
      <c r="B837" s="14" t="n">
        <v>3</v>
      </c>
      <c r="C837" s="14" t="s">
        <v>32</v>
      </c>
      <c r="D837" s="15" t="n">
        <v>5906.00256410256</v>
      </c>
      <c r="E837" s="16" t="n">
        <f aca="false">INDEX(Parâmetros!$C$33:$C$37,MATCH(B837,Parâmetros!$A$33:$A$37,0))</f>
        <v>5909.24487179487</v>
      </c>
      <c r="F837" s="7" t="n">
        <f aca="false">MAX(0,(E837-D837)/D837)</f>
        <v>0.000548985148095763</v>
      </c>
      <c r="G837" s="7" t="n">
        <f aca="false">MIN(K837*Parâmetros!$B$19,Parâmetros!$B$8)</f>
        <v>0.0245713007651064</v>
      </c>
      <c r="H837" s="3" t="str">
        <f aca="false">IF(F837&gt;=Parâmetros!$B$6,"Ação","Acompanhamento")</f>
        <v>Acompanhamento</v>
      </c>
      <c r="I837" s="17" t="n">
        <v>302.229299363057</v>
      </c>
      <c r="J837" s="11" t="n">
        <f aca="false">D837*I837</f>
        <v>1784967.01698514</v>
      </c>
      <c r="K837" s="7" t="n">
        <f aca="false">Parâmetros!$B$4+Parâmetros!$B$5*F837</f>
        <v>0.0201372462870239</v>
      </c>
      <c r="L837" s="11" t="n">
        <f aca="false">D837*(1+G837)</f>
        <v>6051.12072942462</v>
      </c>
      <c r="M837" s="14" t="n">
        <v>0</v>
      </c>
      <c r="N837" s="4" t="n">
        <v>0.963414634146341</v>
      </c>
      <c r="O837" s="3" t="str">
        <f aca="false">IF(AND(B837=4,M837=1),IF(N837&lt;0.8,"Subgrupo 7 dias; fronteira de cluster","Subgrupo 7 dias"),IF(N837&lt;0.8,"Fronteira de cluster",""))</f>
        <v/>
      </c>
    </row>
    <row r="838" customFormat="false" ht="15" hidden="false" customHeight="false" outlineLevel="0" collapsed="false">
      <c r="A838" s="14" t="n">
        <v>837</v>
      </c>
      <c r="B838" s="14" t="n">
        <v>3</v>
      </c>
      <c r="C838" s="14" t="s">
        <v>32</v>
      </c>
      <c r="D838" s="15" t="n">
        <v>3473.72170439414</v>
      </c>
      <c r="E838" s="16" t="n">
        <f aca="false">INDEX(Parâmetros!$C$33:$C$37,MATCH(B838,Parâmetros!$A$33:$A$37,0))</f>
        <v>5909.24487179487</v>
      </c>
      <c r="F838" s="7" t="n">
        <f aca="false">MAX(0,(E838-D838)/D838)</f>
        <v>0.701127889525484</v>
      </c>
      <c r="G838" s="7" t="n">
        <f aca="false">MIN(K838*Parâmetros!$B$19,Parâmetros!$B$8)</f>
        <v>0.2</v>
      </c>
      <c r="H838" s="3" t="str">
        <f aca="false">IF(F838&gt;=Parâmetros!$B$6,"Ação","Acompanhamento")</f>
        <v>Ação</v>
      </c>
      <c r="I838" s="17" t="n">
        <v>290.992569002123</v>
      </c>
      <c r="J838" s="11" t="n">
        <f aca="false">D838*I838</f>
        <v>1010827.20276009</v>
      </c>
      <c r="K838" s="7" t="n">
        <f aca="false">Parâmetros!$B$4+Parâmetros!$B$5*F838</f>
        <v>0.195281972381371</v>
      </c>
      <c r="L838" s="11" t="n">
        <f aca="false">D838*(1+G838)</f>
        <v>4168.46604527297</v>
      </c>
      <c r="M838" s="14" t="n">
        <v>0</v>
      </c>
      <c r="N838" s="4" t="n">
        <v>1</v>
      </c>
      <c r="O838" s="3" t="str">
        <f aca="false">IF(AND(B838=4,M838=1),IF(N838&lt;0.8,"Subgrupo 7 dias; fronteira de cluster","Subgrupo 7 dias"),IF(N838&lt;0.8,"Fronteira de cluster",""))</f>
        <v/>
      </c>
    </row>
    <row r="839" customFormat="false" ht="15" hidden="false" customHeight="false" outlineLevel="0" collapsed="false">
      <c r="A839" s="14" t="n">
        <v>838</v>
      </c>
      <c r="B839" s="14" t="n">
        <v>1</v>
      </c>
      <c r="C839" s="14" t="s">
        <v>30</v>
      </c>
      <c r="D839" s="15" t="n">
        <v>7987.27237851662</v>
      </c>
      <c r="E839" s="16" t="n">
        <f aca="false">INDEX(Parâmetros!$C$33:$C$37,MATCH(B839,Parâmetros!$A$33:$A$37,0))</f>
        <v>6959.92435130262</v>
      </c>
      <c r="F839" s="7" t="n">
        <f aca="false">MAX(0,(E839-D839)/D839)</f>
        <v>0</v>
      </c>
      <c r="G839" s="7" t="n">
        <f aca="false">MIN(K839*Parâmetros!$B$19,Parâmetros!$B$8)</f>
        <v>0.0244038339849275</v>
      </c>
      <c r="H839" s="3" t="str">
        <f aca="false">IF(F839&gt;=Parâmetros!$B$6,"Ação","Acompanhamento")</f>
        <v>Acompanhamento</v>
      </c>
      <c r="I839" s="17" t="n">
        <v>303.004246284501</v>
      </c>
      <c r="J839" s="11" t="n">
        <f aca="false">D839*I839</f>
        <v>2420177.44692144</v>
      </c>
      <c r="K839" s="7" t="n">
        <f aca="false">Parâmetros!$B$4+Parâmetros!$B$5*F839</f>
        <v>0.02</v>
      </c>
      <c r="L839" s="11" t="n">
        <f aca="false">D839*(1+G839)</f>
        <v>8182.19244763434</v>
      </c>
      <c r="M839" s="14" t="n">
        <v>0</v>
      </c>
      <c r="N839" s="4" t="n">
        <v>1</v>
      </c>
      <c r="O839" s="3" t="str">
        <f aca="false">IF(AND(B839=4,M839=1),IF(N839&lt;0.8,"Subgrupo 7 dias; fronteira de cluster","Subgrupo 7 dias"),IF(N839&lt;0.8,"Fronteira de cluster",""))</f>
        <v/>
      </c>
    </row>
    <row r="840" customFormat="false" ht="15" hidden="false" customHeight="false" outlineLevel="0" collapsed="false">
      <c r="A840" s="14" t="n">
        <v>839</v>
      </c>
      <c r="B840" s="14" t="n">
        <v>0</v>
      </c>
      <c r="C840" s="14" t="s">
        <v>29</v>
      </c>
      <c r="D840" s="15" t="n">
        <v>5127.15816326531</v>
      </c>
      <c r="E840" s="16" t="n">
        <f aca="false">INDEX(Parâmetros!$C$33:$C$37,MATCH(B840,Parâmetros!$A$33:$A$37,0))</f>
        <v>5476.37033462034</v>
      </c>
      <c r="F840" s="7" t="n">
        <f aca="false">MAX(0,(E840-D840)/D840)</f>
        <v>0.0681102786836261</v>
      </c>
      <c r="G840" s="7" t="n">
        <f aca="false">MIN(K840*Parâmetros!$B$19,Parâmetros!$B$8)</f>
        <v>0.0451807331557069</v>
      </c>
      <c r="H840" s="3" t="str">
        <f aca="false">IF(F840&gt;=Parâmetros!$B$6,"Ação","Acompanhamento")</f>
        <v>Acompanhamento</v>
      </c>
      <c r="I840" s="17" t="n">
        <v>303.779193205945</v>
      </c>
      <c r="J840" s="11" t="n">
        <f aca="false">D840*I840</f>
        <v>1557523.97027601</v>
      </c>
      <c r="K840" s="7" t="n">
        <f aca="false">Parâmetros!$B$4+Parâmetros!$B$5*F840</f>
        <v>0.0370275696709065</v>
      </c>
      <c r="L840" s="11" t="n">
        <f aca="false">D840*(1+G840)</f>
        <v>5358.8069280869</v>
      </c>
      <c r="M840" s="14" t="n">
        <v>0</v>
      </c>
      <c r="N840" s="4" t="n">
        <v>0.9875</v>
      </c>
      <c r="O840" s="3" t="str">
        <f aca="false">IF(AND(B840=4,M840=1),IF(N840&lt;0.8,"Subgrupo 7 dias; fronteira de cluster","Subgrupo 7 dias"),IF(N840&lt;0.8,"Fronteira de cluster",""))</f>
        <v/>
      </c>
    </row>
    <row r="841" customFormat="false" ht="15" hidden="false" customHeight="false" outlineLevel="0" collapsed="false">
      <c r="A841" s="14" t="n">
        <v>840</v>
      </c>
      <c r="B841" s="14" t="n">
        <v>0</v>
      </c>
      <c r="C841" s="14" t="s">
        <v>29</v>
      </c>
      <c r="D841" s="15" t="n">
        <v>7319.02040816327</v>
      </c>
      <c r="E841" s="16" t="n">
        <f aca="false">INDEX(Parâmetros!$C$33:$C$37,MATCH(B841,Parâmetros!$A$33:$A$37,0))</f>
        <v>5476.37033462034</v>
      </c>
      <c r="F841" s="7" t="n">
        <f aca="false">MAX(0,(E841-D841)/D841)</f>
        <v>0</v>
      </c>
      <c r="G841" s="7" t="n">
        <f aca="false">MIN(K841*Parâmetros!$B$19,Parâmetros!$B$8)</f>
        <v>0.0244038339849275</v>
      </c>
      <c r="H841" s="3" t="str">
        <f aca="false">IF(F841&gt;=Parâmetros!$B$6,"Ação","Acompanhamento")</f>
        <v>Acompanhamento</v>
      </c>
      <c r="I841" s="17" t="n">
        <v>303.779193205945</v>
      </c>
      <c r="J841" s="11" t="n">
        <f aca="false">D841*I841</f>
        <v>2223366.11464968</v>
      </c>
      <c r="K841" s="7" t="n">
        <f aca="false">Parâmetros!$B$4+Parâmetros!$B$5*F841</f>
        <v>0.02</v>
      </c>
      <c r="L841" s="11" t="n">
        <f aca="false">D841*(1+G841)</f>
        <v>7497.63256713638</v>
      </c>
      <c r="M841" s="14" t="n">
        <v>0</v>
      </c>
      <c r="N841" s="4" t="n">
        <v>0.894736842105263</v>
      </c>
      <c r="O841" s="3" t="str">
        <f aca="false">IF(AND(B841=4,M841=1),IF(N841&lt;0.8,"Subgrupo 7 dias; fronteira de cluster","Subgrupo 7 dias"),IF(N841&lt;0.8,"Fronteira de cluster",""))</f>
        <v/>
      </c>
    </row>
    <row r="842" customFormat="false" ht="15" hidden="false" customHeight="false" outlineLevel="0" collapsed="false">
      <c r="A842" s="14" t="n">
        <v>841</v>
      </c>
      <c r="B842" s="14" t="n">
        <v>3</v>
      </c>
      <c r="C842" s="14" t="s">
        <v>32</v>
      </c>
      <c r="D842" s="15" t="n">
        <v>2972.60897435897</v>
      </c>
      <c r="E842" s="16" t="n">
        <f aca="false">INDEX(Parâmetros!$C$33:$C$37,MATCH(B842,Parâmetros!$A$33:$A$37,0))</f>
        <v>5909.24487179487</v>
      </c>
      <c r="F842" s="7" t="n">
        <f aca="false">MAX(0,(E842-D842)/D842)</f>
        <v>0.987898483374917</v>
      </c>
      <c r="G842" s="7" t="n">
        <f aca="false">MIN(K842*Parâmetros!$B$19,Parâmetros!$B$8)</f>
        <v>0.2</v>
      </c>
      <c r="H842" s="3" t="str">
        <f aca="false">IF(F842&gt;=Parâmetros!$B$6,"Ação","Acompanhamento")</f>
        <v>Ação</v>
      </c>
      <c r="I842" s="17" t="n">
        <v>302.229299363057</v>
      </c>
      <c r="J842" s="11" t="n">
        <f aca="false">D842*I842</f>
        <v>898409.527600849</v>
      </c>
      <c r="K842" s="7" t="n">
        <f aca="false">Parâmetros!$B$4+Parâmetros!$B$5*F842</f>
        <v>0.266974620843729</v>
      </c>
      <c r="L842" s="11" t="n">
        <f aca="false">D842*(1+G842)</f>
        <v>3567.13076923077</v>
      </c>
      <c r="M842" s="14" t="n">
        <v>0</v>
      </c>
      <c r="N842" s="4" t="n">
        <v>1</v>
      </c>
      <c r="O842" s="3" t="str">
        <f aca="false">IF(AND(B842=4,M842=1),IF(N842&lt;0.8,"Subgrupo 7 dias; fronteira de cluster","Subgrupo 7 dias"),IF(N842&lt;0.8,"Fronteira de cluster",""))</f>
        <v/>
      </c>
    </row>
    <row r="843" customFormat="false" ht="15" hidden="false" customHeight="false" outlineLevel="0" collapsed="false">
      <c r="A843" s="14" t="n">
        <v>842</v>
      </c>
      <c r="B843" s="14" t="n">
        <v>1</v>
      </c>
      <c r="C843" s="14" t="s">
        <v>30</v>
      </c>
      <c r="D843" s="15" t="n">
        <v>18574.7958199357</v>
      </c>
      <c r="E843" s="16" t="n">
        <f aca="false">INDEX(Parâmetros!$C$33:$C$37,MATCH(B843,Parâmetros!$A$33:$A$37,0))</f>
        <v>6959.92435130262</v>
      </c>
      <c r="F843" s="7" t="n">
        <f aca="false">MAX(0,(E843-D843)/D843)</f>
        <v>0</v>
      </c>
      <c r="G843" s="7" t="n">
        <f aca="false">MIN(K843*Parâmetros!$B$19,Parâmetros!$B$8)</f>
        <v>0.0244038339849275</v>
      </c>
      <c r="H843" s="3" t="str">
        <f aca="false">IF(F843&gt;=Parâmetros!$B$6,"Ação","Acompanhamento")</f>
        <v>Acompanhamento</v>
      </c>
      <c r="I843" s="17" t="n">
        <v>299.511873350924</v>
      </c>
      <c r="J843" s="11" t="n">
        <f aca="false">D843*I843</f>
        <v>5563371.89313984</v>
      </c>
      <c r="K843" s="7" t="n">
        <f aca="false">Parâmetros!$B$4+Parâmetros!$B$5*F843</f>
        <v>0.02</v>
      </c>
      <c r="L843" s="11" t="n">
        <f aca="false">D843*(1+G843)</f>
        <v>19028.0920534293</v>
      </c>
      <c r="M843" s="14" t="n">
        <v>0</v>
      </c>
      <c r="N843" s="4" t="n">
        <v>0.974683544303797</v>
      </c>
      <c r="O843" s="3" t="str">
        <f aca="false">IF(AND(B843=4,M843=1),IF(N843&lt;0.8,"Subgrupo 7 dias; fronteira de cluster","Subgrupo 7 dias"),IF(N843&lt;0.8,"Fronteira de cluster",""))</f>
        <v/>
      </c>
    </row>
    <row r="844" customFormat="false" ht="15" hidden="false" customHeight="false" outlineLevel="0" collapsed="false">
      <c r="A844" s="14" t="n">
        <v>843</v>
      </c>
      <c r="B844" s="14" t="n">
        <v>4</v>
      </c>
      <c r="C844" s="14" t="s">
        <v>33</v>
      </c>
      <c r="D844" s="15" t="n">
        <v>9468.70663265306</v>
      </c>
      <c r="E844" s="16" t="n">
        <f aca="false">INDEX(Parâmetros!$C$33:$C$37,MATCH(B844,Parâmetros!$A$33:$A$37,0))</f>
        <v>8837.10512820513</v>
      </c>
      <c r="F844" s="7" t="n">
        <f aca="false">MAX(0,(E844-D844)/D844)</f>
        <v>0</v>
      </c>
      <c r="G844" s="7" t="n">
        <f aca="false">MIN(K844*Parâmetros!$B$19,Parâmetros!$B$8)</f>
        <v>0.0244038339849275</v>
      </c>
      <c r="H844" s="3" t="str">
        <f aca="false">IF(F844&gt;=Parâmetros!$B$6,"Ação","Acompanhamento")</f>
        <v>Acompanhamento</v>
      </c>
      <c r="I844" s="17" t="n">
        <v>303.779193205945</v>
      </c>
      <c r="J844" s="11" t="n">
        <f aca="false">D844*I844</f>
        <v>2876396.06157113</v>
      </c>
      <c r="K844" s="7" t="n">
        <f aca="false">Parâmetros!$B$4+Parâmetros!$B$5*F844</f>
        <v>0.02</v>
      </c>
      <c r="L844" s="11" t="n">
        <f aca="false">D844*(1+G844)</f>
        <v>9699.77937736831</v>
      </c>
      <c r="M844" s="14" t="n">
        <v>0</v>
      </c>
      <c r="N844" s="4" t="n">
        <v>0.975</v>
      </c>
      <c r="O844" s="3" t="str">
        <f aca="false">IF(AND(B844=4,M844=1),IF(N844&lt;0.8,"Subgrupo 7 dias; fronteira de cluster","Subgrupo 7 dias"),IF(N844&lt;0.8,"Fronteira de cluster",""))</f>
        <v/>
      </c>
    </row>
    <row r="845" customFormat="false" ht="15" hidden="false" customHeight="false" outlineLevel="0" collapsed="false">
      <c r="A845" s="14" t="n">
        <v>844</v>
      </c>
      <c r="B845" s="14" t="n">
        <v>3</v>
      </c>
      <c r="C845" s="14" t="s">
        <v>32</v>
      </c>
      <c r="D845" s="15" t="n">
        <v>4178.71245186136</v>
      </c>
      <c r="E845" s="16" t="n">
        <f aca="false">INDEX(Parâmetros!$C$33:$C$37,MATCH(B845,Parâmetros!$A$33:$A$37,0))</f>
        <v>5909.24487179487</v>
      </c>
      <c r="F845" s="7" t="n">
        <f aca="false">MAX(0,(E845-D845)/D845)</f>
        <v>0.41413053419425</v>
      </c>
      <c r="G845" s="7" t="n">
        <f aca="false">MIN(K845*Parâmetros!$B$19,Parâmetros!$B$8)</f>
        <v>0.150733494042</v>
      </c>
      <c r="H845" s="3" t="str">
        <f aca="false">IF(F845&gt;=Parâmetros!$B$6,"Ação","Acompanhamento")</f>
        <v>Ação</v>
      </c>
      <c r="I845" s="17" t="n">
        <v>301.841825902336</v>
      </c>
      <c r="J845" s="11" t="n">
        <f aca="false">D845*I845</f>
        <v>1261310.19639066</v>
      </c>
      <c r="K845" s="7" t="n">
        <f aca="false">Parâmetros!$B$4+Parâmetros!$B$5*F845</f>
        <v>0.123532633548563</v>
      </c>
      <c r="L845" s="11" t="n">
        <f aca="false">D845*(1+G845)</f>
        <v>4808.58438032724</v>
      </c>
      <c r="M845" s="14" t="n">
        <v>0</v>
      </c>
      <c r="N845" s="4" t="n">
        <v>0.957746478873239</v>
      </c>
      <c r="O845" s="3" t="str">
        <f aca="false">IF(AND(B845=4,M845=1),IF(N845&lt;0.8,"Subgrupo 7 dias; fronteira de cluster","Subgrupo 7 dias"),IF(N845&lt;0.8,"Fronteira de cluster",""))</f>
        <v/>
      </c>
    </row>
    <row r="846" customFormat="false" ht="15" hidden="false" customHeight="false" outlineLevel="0" collapsed="false">
      <c r="A846" s="14" t="n">
        <v>845</v>
      </c>
      <c r="B846" s="14" t="n">
        <v>1</v>
      </c>
      <c r="C846" s="14" t="s">
        <v>30</v>
      </c>
      <c r="D846" s="15" t="n">
        <v>4828.5618556701</v>
      </c>
      <c r="E846" s="16" t="n">
        <f aca="false">INDEX(Parâmetros!$C$33:$C$37,MATCH(B846,Parâmetros!$A$33:$A$37,0))</f>
        <v>6959.92435130262</v>
      </c>
      <c r="F846" s="7" t="n">
        <f aca="false">MAX(0,(E846-D846)/D846)</f>
        <v>0.441407309120353</v>
      </c>
      <c r="G846" s="7" t="n">
        <f aca="false">MIN(K846*Parâmetros!$B$19,Parâmetros!$B$8)</f>
        <v>0.159054217628761</v>
      </c>
      <c r="H846" s="3" t="str">
        <f aca="false">IF(F846&gt;=Parâmetros!$B$6,"Ação","Acompanhamento")</f>
        <v>Ação</v>
      </c>
      <c r="I846" s="17" t="n">
        <v>300.67940552017</v>
      </c>
      <c r="J846" s="11" t="n">
        <f aca="false">D846*I846</f>
        <v>1451849.10828026</v>
      </c>
      <c r="K846" s="7" t="n">
        <f aca="false">Parâmetros!$B$4+Parâmetros!$B$5*F846</f>
        <v>0.130351827280088</v>
      </c>
      <c r="L846" s="11" t="n">
        <f aca="false">D846*(1+G846)</f>
        <v>5596.56498389579</v>
      </c>
      <c r="M846" s="14" t="n">
        <v>0</v>
      </c>
      <c r="N846" s="4" t="n">
        <v>1</v>
      </c>
      <c r="O846" s="3" t="str">
        <f aca="false">IF(AND(B846=4,M846=1),IF(N846&lt;0.8,"Subgrupo 7 dias; fronteira de cluster","Subgrupo 7 dias"),IF(N846&lt;0.8,"Fronteira de cluster",""))</f>
        <v/>
      </c>
    </row>
    <row r="847" customFormat="false" ht="15" hidden="false" customHeight="false" outlineLevel="0" collapsed="false">
      <c r="A847" s="14" t="n">
        <v>846</v>
      </c>
      <c r="B847" s="14" t="n">
        <v>1</v>
      </c>
      <c r="C847" s="14" t="s">
        <v>30</v>
      </c>
      <c r="D847" s="15" t="n">
        <v>9224.63799743261</v>
      </c>
      <c r="E847" s="16" t="n">
        <f aca="false">INDEX(Parâmetros!$C$33:$C$37,MATCH(B847,Parâmetros!$A$33:$A$37,0))</f>
        <v>6959.92435130262</v>
      </c>
      <c r="F847" s="7" t="n">
        <f aca="false">MAX(0,(E847-D847)/D847)</f>
        <v>0</v>
      </c>
      <c r="G847" s="7" t="n">
        <f aca="false">MIN(K847*Parâmetros!$B$19,Parâmetros!$B$8)</f>
        <v>0.0244038339849275</v>
      </c>
      <c r="H847" s="3" t="str">
        <f aca="false">IF(F847&gt;=Parâmetros!$B$6,"Ação","Acompanhamento")</f>
        <v>Acompanhamento</v>
      </c>
      <c r="I847" s="17" t="n">
        <v>301.841825902336</v>
      </c>
      <c r="J847" s="11" t="n">
        <f aca="false">D847*I847</f>
        <v>2784381.57643312</v>
      </c>
      <c r="K847" s="7" t="n">
        <f aca="false">Parâmetros!$B$4+Parâmetros!$B$5*F847</f>
        <v>0.02</v>
      </c>
      <c r="L847" s="11" t="n">
        <f aca="false">D847*(1+G847)</f>
        <v>9449.75453169301</v>
      </c>
      <c r="M847" s="14" t="n">
        <v>0</v>
      </c>
      <c r="N847" s="4" t="n">
        <v>0.875</v>
      </c>
      <c r="O847" s="3" t="str">
        <f aca="false">IF(AND(B847=4,M847=1),IF(N847&lt;0.8,"Subgrupo 7 dias; fronteira de cluster","Subgrupo 7 dias"),IF(N847&lt;0.8,"Fronteira de cluster",""))</f>
        <v/>
      </c>
    </row>
    <row r="848" customFormat="false" ht="15" hidden="false" customHeight="false" outlineLevel="0" collapsed="false">
      <c r="A848" s="14" t="n">
        <v>847</v>
      </c>
      <c r="B848" s="14" t="n">
        <v>4</v>
      </c>
      <c r="C848" s="14" t="s">
        <v>33</v>
      </c>
      <c r="D848" s="15" t="n">
        <v>7111.76159793814</v>
      </c>
      <c r="E848" s="16" t="n">
        <f aca="false">INDEX(Parâmetros!$C$33:$C$37,MATCH(B848,Parâmetros!$A$33:$A$37,0))</f>
        <v>8837.10512820513</v>
      </c>
      <c r="F848" s="7" t="n">
        <f aca="false">MAX(0,(E848-D848)/D848)</f>
        <v>0.24260424179112</v>
      </c>
      <c r="G848" s="7" t="n">
        <f aca="false">MIN(K848*Parâmetros!$B$19,Parâmetros!$B$8)</f>
        <v>0.0984097544937984</v>
      </c>
      <c r="H848" s="3" t="str">
        <f aca="false">IF(F848&gt;=Parâmetros!$B$6,"Ação","Acompanhamento")</f>
        <v>Ação</v>
      </c>
      <c r="I848" s="17" t="n">
        <v>300.67940552017</v>
      </c>
      <c r="J848" s="11" t="n">
        <f aca="false">D848*I848</f>
        <v>2138360.24946921</v>
      </c>
      <c r="K848" s="7" t="n">
        <f aca="false">Parâmetros!$B$4+Parâmetros!$B$5*F848</f>
        <v>0.0806510604477799</v>
      </c>
      <c r="L848" s="11" t="n">
        <f aca="false">D848*(1+G848)</f>
        <v>7811.62831080966</v>
      </c>
      <c r="M848" s="14" t="n">
        <v>0</v>
      </c>
      <c r="N848" s="4" t="n">
        <v>0.634146341463415</v>
      </c>
      <c r="O848" s="3" t="str">
        <f aca="false">IF(AND(B848=4,M848=1),IF(N848&lt;0.8,"Subgrupo 7 dias; fronteira de cluster","Subgrupo 7 dias"),IF(N848&lt;0.8,"Fronteira de cluster",""))</f>
        <v>Fronteira de cluster</v>
      </c>
    </row>
    <row r="849" customFormat="false" ht="15" hidden="false" customHeight="false" outlineLevel="0" collapsed="false">
      <c r="A849" s="14" t="n">
        <v>848</v>
      </c>
      <c r="B849" s="14" t="n">
        <v>0</v>
      </c>
      <c r="C849" s="14" t="s">
        <v>29</v>
      </c>
      <c r="D849" s="15" t="n">
        <v>6630.60288335518</v>
      </c>
      <c r="E849" s="16" t="n">
        <f aca="false">INDEX(Parâmetros!$C$33:$C$37,MATCH(B849,Parâmetros!$A$33:$A$37,0))</f>
        <v>5476.37033462034</v>
      </c>
      <c r="F849" s="7" t="n">
        <f aca="false">MAX(0,(E849-D849)/D849)</f>
        <v>0</v>
      </c>
      <c r="G849" s="7" t="n">
        <f aca="false">MIN(K849*Parâmetros!$B$19,Parâmetros!$B$8)</f>
        <v>0.0244038339849275</v>
      </c>
      <c r="H849" s="3" t="str">
        <f aca="false">IF(F849&gt;=Parâmetros!$B$6,"Ação","Acompanhamento")</f>
        <v>Acompanhamento</v>
      </c>
      <c r="I849" s="17" t="n">
        <v>295.642250530786</v>
      </c>
      <c r="J849" s="11" t="n">
        <f aca="false">D849*I849</f>
        <v>1960286.35881104</v>
      </c>
      <c r="K849" s="7" t="n">
        <f aca="false">Parâmetros!$B$4+Parâmetros!$B$5*F849</f>
        <v>0.02</v>
      </c>
      <c r="L849" s="11" t="n">
        <f aca="false">D849*(1+G849)</f>
        <v>6792.41501534056</v>
      </c>
      <c r="M849" s="14" t="n">
        <v>0</v>
      </c>
      <c r="N849" s="4" t="n">
        <v>0.961538461538462</v>
      </c>
      <c r="O849" s="3" t="str">
        <f aca="false">IF(AND(B849=4,M849=1),IF(N849&lt;0.8,"Subgrupo 7 dias; fronteira de cluster","Subgrupo 7 dias"),IF(N849&lt;0.8,"Fronteira de cluster",""))</f>
        <v/>
      </c>
    </row>
    <row r="850" customFormat="false" ht="15" hidden="false" customHeight="false" outlineLevel="0" collapsed="false">
      <c r="A850" s="14" t="n">
        <v>849</v>
      </c>
      <c r="B850" s="14" t="n">
        <v>1</v>
      </c>
      <c r="C850" s="14" t="s">
        <v>30</v>
      </c>
      <c r="D850" s="15" t="n">
        <v>8155.2181122449</v>
      </c>
      <c r="E850" s="16" t="n">
        <f aca="false">INDEX(Parâmetros!$C$33:$C$37,MATCH(B850,Parâmetros!$A$33:$A$37,0))</f>
        <v>6959.92435130262</v>
      </c>
      <c r="F850" s="7" t="n">
        <f aca="false">MAX(0,(E850-D850)/D850)</f>
        <v>0</v>
      </c>
      <c r="G850" s="7" t="n">
        <f aca="false">MIN(K850*Parâmetros!$B$19,Parâmetros!$B$8)</f>
        <v>0.0244038339849275</v>
      </c>
      <c r="H850" s="3" t="str">
        <f aca="false">IF(F850&gt;=Parâmetros!$B$6,"Ação","Acompanhamento")</f>
        <v>Acompanhamento</v>
      </c>
      <c r="I850" s="17" t="n">
        <v>303.779193205945</v>
      </c>
      <c r="J850" s="11" t="n">
        <f aca="false">D850*I850</f>
        <v>2477385.57855626</v>
      </c>
      <c r="K850" s="7" t="n">
        <f aca="false">Parâmetros!$B$4+Parâmetros!$B$5*F850</f>
        <v>0.02</v>
      </c>
      <c r="L850" s="11" t="n">
        <f aca="false">D850*(1+G850)</f>
        <v>8354.236701167</v>
      </c>
      <c r="M850" s="14" t="n">
        <v>0</v>
      </c>
      <c r="N850" s="4" t="n">
        <v>1</v>
      </c>
      <c r="O850" s="3" t="str">
        <f aca="false">IF(AND(B850=4,M850=1),IF(N850&lt;0.8,"Subgrupo 7 dias; fronteira de cluster","Subgrupo 7 dias"),IF(N850&lt;0.8,"Fronteira de cluster",""))</f>
        <v/>
      </c>
    </row>
    <row r="851" customFormat="false" ht="15" hidden="false" customHeight="false" outlineLevel="0" collapsed="false">
      <c r="A851" s="14" t="n">
        <v>850</v>
      </c>
      <c r="B851" s="14" t="n">
        <v>0</v>
      </c>
      <c r="C851" s="14" t="s">
        <v>29</v>
      </c>
      <c r="D851" s="15" t="n">
        <v>6201.78886010363</v>
      </c>
      <c r="E851" s="16" t="n">
        <f aca="false">INDEX(Parâmetros!$C$33:$C$37,MATCH(B851,Parâmetros!$A$33:$A$37,0))</f>
        <v>5476.37033462034</v>
      </c>
      <c r="F851" s="7" t="n">
        <f aca="false">MAX(0,(E851-D851)/D851)</f>
        <v>0</v>
      </c>
      <c r="G851" s="7" t="n">
        <f aca="false">MIN(K851*Parâmetros!$B$19,Parâmetros!$B$8)</f>
        <v>0.0244038339849275</v>
      </c>
      <c r="H851" s="3" t="str">
        <f aca="false">IF(F851&gt;=Parâmetros!$B$6,"Ação","Acompanhamento")</f>
        <v>Acompanhamento</v>
      </c>
      <c r="I851" s="17" t="n">
        <v>299.516985138004</v>
      </c>
      <c r="J851" s="11" t="n">
        <f aca="false">D851*I851</f>
        <v>1857541.1018407</v>
      </c>
      <c r="K851" s="7" t="n">
        <f aca="false">Parâmetros!$B$4+Parâmetros!$B$5*F851</f>
        <v>0.02</v>
      </c>
      <c r="L851" s="11" t="n">
        <f aca="false">D851*(1+G851)</f>
        <v>6353.13628585517</v>
      </c>
      <c r="M851" s="14" t="n">
        <v>0</v>
      </c>
      <c r="N851" s="4" t="n">
        <v>1</v>
      </c>
      <c r="O851" s="3" t="str">
        <f aca="false">IF(AND(B851=4,M851=1),IF(N851&lt;0.8,"Subgrupo 7 dias; fronteira de cluster","Subgrupo 7 dias"),IF(N851&lt;0.8,"Fronteira de cluster",""))</f>
        <v/>
      </c>
    </row>
    <row r="852" customFormat="false" ht="15" hidden="false" customHeight="false" outlineLevel="0" collapsed="false">
      <c r="A852" s="14" t="n">
        <v>851</v>
      </c>
      <c r="B852" s="14" t="n">
        <v>1</v>
      </c>
      <c r="C852" s="14" t="s">
        <v>30</v>
      </c>
      <c r="D852" s="15" t="n">
        <v>5453.46302250804</v>
      </c>
      <c r="E852" s="16" t="n">
        <f aca="false">INDEX(Parâmetros!$C$33:$C$37,MATCH(B852,Parâmetros!$A$33:$A$37,0))</f>
        <v>6959.92435130262</v>
      </c>
      <c r="F852" s="7" t="n">
        <f aca="false">MAX(0,(E852-D852)/D852)</f>
        <v>0.276239395513819</v>
      </c>
      <c r="G852" s="7" t="n">
        <f aca="false">MIN(K852*Parâmetros!$B$19,Parâmetros!$B$8)</f>
        <v>0.108670088337627</v>
      </c>
      <c r="H852" s="3" t="str">
        <f aca="false">IF(F852&gt;=Parâmetros!$B$6,"Ação","Acompanhamento")</f>
        <v>Ação</v>
      </c>
      <c r="I852" s="17" t="n">
        <v>299.511873350924</v>
      </c>
      <c r="J852" s="11" t="n">
        <f aca="false">D852*I852</f>
        <v>1633376.92612137</v>
      </c>
      <c r="K852" s="7" t="n">
        <f aca="false">Parâmetros!$B$4+Parâmetros!$B$5*F852</f>
        <v>0.0890598488784547</v>
      </c>
      <c r="L852" s="11" t="n">
        <f aca="false">D852*(1+G852)</f>
        <v>6046.09133090997</v>
      </c>
      <c r="M852" s="14" t="n">
        <v>0</v>
      </c>
      <c r="N852" s="4" t="n">
        <v>0.98780487804878</v>
      </c>
      <c r="O852" s="3" t="str">
        <f aca="false">IF(AND(B852=4,M852=1),IF(N852&lt;0.8,"Subgrupo 7 dias; fronteira de cluster","Subgrupo 7 dias"),IF(N852&lt;0.8,"Fronteira de cluster",""))</f>
        <v/>
      </c>
    </row>
    <row r="853" customFormat="false" ht="15" hidden="false" customHeight="false" outlineLevel="0" collapsed="false">
      <c r="A853" s="14" t="n">
        <v>852</v>
      </c>
      <c r="B853" s="14" t="n">
        <v>0</v>
      </c>
      <c r="C853" s="14" t="s">
        <v>29</v>
      </c>
      <c r="D853" s="15" t="n">
        <v>4606.51344430218</v>
      </c>
      <c r="E853" s="16" t="n">
        <f aca="false">INDEX(Parâmetros!$C$33:$C$37,MATCH(B853,Parâmetros!$A$33:$A$37,0))</f>
        <v>5476.37033462034</v>
      </c>
      <c r="F853" s="7" t="n">
        <f aca="false">MAX(0,(E853-D853)/D853)</f>
        <v>0.188831944340484</v>
      </c>
      <c r="G853" s="7" t="n">
        <f aca="false">MIN(K853*Parâmetros!$B$19,Parâmetros!$B$8)</f>
        <v>0.0820066267441302</v>
      </c>
      <c r="H853" s="3" t="str">
        <f aca="false">IF(F853&gt;=Parâmetros!$B$6,"Ação","Acompanhamento")</f>
        <v>Ação</v>
      </c>
      <c r="I853" s="17" t="n">
        <v>302.616772823779</v>
      </c>
      <c r="J853" s="11" t="n">
        <f aca="false">D853*I853</f>
        <v>1394008.23248408</v>
      </c>
      <c r="K853" s="7" t="n">
        <f aca="false">Parâmetros!$B$4+Parâmetros!$B$5*F853</f>
        <v>0.0672079860851209</v>
      </c>
      <c r="L853" s="11" t="n">
        <f aca="false">D853*(1+G853)</f>
        <v>4984.27807292088</v>
      </c>
      <c r="M853" s="14" t="n">
        <v>0</v>
      </c>
      <c r="N853" s="4" t="n">
        <v>0.9625</v>
      </c>
      <c r="O853" s="3" t="str">
        <f aca="false">IF(AND(B853=4,M853=1),IF(N853&lt;0.8,"Subgrupo 7 dias; fronteira de cluster","Subgrupo 7 dias"),IF(N853&lt;0.8,"Fronteira de cluster",""))</f>
        <v/>
      </c>
    </row>
    <row r="854" customFormat="false" ht="15" hidden="false" customHeight="false" outlineLevel="0" collapsed="false">
      <c r="A854" s="14" t="n">
        <v>853</v>
      </c>
      <c r="B854" s="14" t="n">
        <v>1</v>
      </c>
      <c r="C854" s="14" t="s">
        <v>30</v>
      </c>
      <c r="D854" s="15" t="n">
        <v>9243.10424710425</v>
      </c>
      <c r="E854" s="16" t="n">
        <f aca="false">INDEX(Parâmetros!$C$33:$C$37,MATCH(B854,Parâmetros!$A$33:$A$37,0))</f>
        <v>6959.92435130262</v>
      </c>
      <c r="F854" s="7" t="n">
        <f aca="false">MAX(0,(E854-D854)/D854)</f>
        <v>0</v>
      </c>
      <c r="G854" s="7" t="n">
        <f aca="false">MIN(K854*Parâmetros!$B$19,Parâmetros!$B$8)</f>
        <v>0.0244038339849275</v>
      </c>
      <c r="H854" s="3" t="str">
        <f aca="false">IF(F854&gt;=Parâmetros!$B$6,"Ação","Acompanhamento")</f>
        <v>Acompanhamento</v>
      </c>
      <c r="I854" s="17" t="n">
        <v>301.066878980892</v>
      </c>
      <c r="J854" s="11" t="n">
        <f aca="false">D854*I854</f>
        <v>2782792.5477707</v>
      </c>
      <c r="K854" s="7" t="n">
        <f aca="false">Parâmetros!$B$4+Parâmetros!$B$5*F854</f>
        <v>0.02</v>
      </c>
      <c r="L854" s="11" t="n">
        <f aca="false">D854*(1+G854)</f>
        <v>9468.67142865596</v>
      </c>
      <c r="M854" s="14" t="n">
        <v>0</v>
      </c>
      <c r="N854" s="4" t="n">
        <v>1</v>
      </c>
      <c r="O854" s="3" t="str">
        <f aca="false">IF(AND(B854=4,M854=1),IF(N854&lt;0.8,"Subgrupo 7 dias; fronteira de cluster","Subgrupo 7 dias"),IF(N854&lt;0.8,"Fronteira de cluster",""))</f>
        <v/>
      </c>
    </row>
    <row r="855" customFormat="false" ht="15" hidden="false" customHeight="false" outlineLevel="0" collapsed="false">
      <c r="A855" s="14" t="n">
        <v>854</v>
      </c>
      <c r="B855" s="14" t="n">
        <v>1</v>
      </c>
      <c r="C855" s="14" t="s">
        <v>30</v>
      </c>
      <c r="D855" s="15" t="n">
        <v>6577.14358974359</v>
      </c>
      <c r="E855" s="16" t="n">
        <f aca="false">INDEX(Parâmetros!$C$33:$C$37,MATCH(B855,Parâmetros!$A$33:$A$37,0))</f>
        <v>6959.92435130262</v>
      </c>
      <c r="F855" s="7" t="n">
        <f aca="false">MAX(0,(E855-D855)/D855)</f>
        <v>0.0581986323296852</v>
      </c>
      <c r="G855" s="7" t="n">
        <f aca="false">MIN(K855*Parâmetros!$B$19,Parâmetros!$B$8)</f>
        <v>0.0421572060039708</v>
      </c>
      <c r="H855" s="3" t="str">
        <f aca="false">IF(F855&gt;=Parâmetros!$B$6,"Ação","Acompanhamento")</f>
        <v>Acompanhamento</v>
      </c>
      <c r="I855" s="17" t="n">
        <v>302.229299363057</v>
      </c>
      <c r="J855" s="11" t="n">
        <f aca="false">D855*I855</f>
        <v>1987805.49893843</v>
      </c>
      <c r="K855" s="7" t="n">
        <f aca="false">Parâmetros!$B$4+Parâmetros!$B$5*F855</f>
        <v>0.0345496580824213</v>
      </c>
      <c r="L855" s="11" t="n">
        <f aca="false">D855*(1+G855)</f>
        <v>6854.41758697411</v>
      </c>
      <c r="M855" s="14" t="n">
        <v>0</v>
      </c>
      <c r="N855" s="4" t="n">
        <v>1</v>
      </c>
      <c r="O855" s="3" t="str">
        <f aca="false">IF(AND(B855=4,M855=1),IF(N855&lt;0.8,"Subgrupo 7 dias; fronteira de cluster","Subgrupo 7 dias"),IF(N855&lt;0.8,"Fronteira de cluster",""))</f>
        <v/>
      </c>
    </row>
    <row r="856" customFormat="false" ht="15" hidden="false" customHeight="false" outlineLevel="0" collapsed="false">
      <c r="A856" s="14" t="n">
        <v>855</v>
      </c>
      <c r="B856" s="14" t="n">
        <v>0</v>
      </c>
      <c r="C856" s="14" t="s">
        <v>29</v>
      </c>
      <c r="D856" s="15" t="n">
        <v>5762.67181467182</v>
      </c>
      <c r="E856" s="16" t="n">
        <f aca="false">INDEX(Parâmetros!$C$33:$C$37,MATCH(B856,Parâmetros!$A$33:$A$37,0))</f>
        <v>5476.37033462034</v>
      </c>
      <c r="F856" s="7" t="n">
        <f aca="false">MAX(0,(E856-D856)/D856)</f>
        <v>0</v>
      </c>
      <c r="G856" s="7" t="n">
        <f aca="false">MIN(K856*Parâmetros!$B$19,Parâmetros!$B$8)</f>
        <v>0.0244038339849275</v>
      </c>
      <c r="H856" s="3" t="str">
        <f aca="false">IF(F856&gt;=Parâmetros!$B$6,"Ação","Acompanhamento")</f>
        <v>Acompanhamento</v>
      </c>
      <c r="I856" s="17" t="n">
        <v>301.066878980892</v>
      </c>
      <c r="J856" s="11" t="n">
        <f aca="false">D856*I856</f>
        <v>1734949.6178344</v>
      </c>
      <c r="K856" s="7" t="n">
        <f aca="false">Parâmetros!$B$4+Parâmetros!$B$5*F856</f>
        <v>0.02</v>
      </c>
      <c r="L856" s="11" t="n">
        <f aca="false">D856*(1+G856)</f>
        <v>5903.30310094669</v>
      </c>
      <c r="M856" s="14" t="n">
        <v>0</v>
      </c>
      <c r="N856" s="4" t="n">
        <v>0.896103896103896</v>
      </c>
      <c r="O856" s="3" t="str">
        <f aca="false">IF(AND(B856=4,M856=1),IF(N856&lt;0.8,"Subgrupo 7 dias; fronteira de cluster","Subgrupo 7 dias"),IF(N856&lt;0.8,"Fronteira de cluster",""))</f>
        <v/>
      </c>
    </row>
    <row r="857" customFormat="false" ht="15" hidden="false" customHeight="false" outlineLevel="0" collapsed="false">
      <c r="A857" s="14" t="n">
        <v>856</v>
      </c>
      <c r="B857" s="14" t="n">
        <v>4</v>
      </c>
      <c r="C857" s="14" t="s">
        <v>33</v>
      </c>
      <c r="D857" s="15" t="n">
        <v>7142.38010204082</v>
      </c>
      <c r="E857" s="16" t="n">
        <f aca="false">INDEX(Parâmetros!$C$33:$C$37,MATCH(B857,Parâmetros!$A$33:$A$37,0))</f>
        <v>8837.10512820513</v>
      </c>
      <c r="F857" s="7" t="n">
        <f aca="false">MAX(0,(E857-D857)/D857)</f>
        <v>0.237277350400334</v>
      </c>
      <c r="G857" s="7" t="n">
        <f aca="false">MIN(K857*Parâmetros!$B$19,Parâmetros!$B$8)</f>
        <v>0.0967847973293426</v>
      </c>
      <c r="H857" s="3" t="str">
        <f aca="false">IF(F857&gt;=Parâmetros!$B$6,"Ação","Acompanhamento")</f>
        <v>Ação</v>
      </c>
      <c r="I857" s="17" t="n">
        <v>303.779193205945</v>
      </c>
      <c r="J857" s="11" t="n">
        <f aca="false">D857*I857</f>
        <v>2169706.46496815</v>
      </c>
      <c r="K857" s="7" t="n">
        <f aca="false">Parâmetros!$B$4+Parâmetros!$B$5*F857</f>
        <v>0.0793193376000835</v>
      </c>
      <c r="L857" s="11" t="n">
        <f aca="false">D857*(1+G857)</f>
        <v>7833.65391266597</v>
      </c>
      <c r="M857" s="14" t="n">
        <v>0</v>
      </c>
      <c r="N857" s="4" t="n">
        <v>1</v>
      </c>
      <c r="O857" s="3" t="str">
        <f aca="false">IF(AND(B857=4,M857=1),IF(N857&lt;0.8,"Subgrupo 7 dias; fronteira de cluster","Subgrupo 7 dias"),IF(N857&lt;0.8,"Fronteira de cluster",""))</f>
        <v/>
      </c>
    </row>
    <row r="858" customFormat="false" ht="15" hidden="false" customHeight="false" outlineLevel="0" collapsed="false">
      <c r="A858" s="14" t="n">
        <v>857</v>
      </c>
      <c r="B858" s="14" t="n">
        <v>1</v>
      </c>
      <c r="C858" s="14" t="s">
        <v>30</v>
      </c>
      <c r="D858" s="15" t="n">
        <v>7446.32266325224</v>
      </c>
      <c r="E858" s="16" t="n">
        <f aca="false">INDEX(Parâmetros!$C$33:$C$37,MATCH(B858,Parâmetros!$A$33:$A$37,0))</f>
        <v>6959.92435130262</v>
      </c>
      <c r="F858" s="7" t="n">
        <f aca="false">MAX(0,(E858-D858)/D858)</f>
        <v>0</v>
      </c>
      <c r="G858" s="7" t="n">
        <f aca="false">MIN(K858*Parâmetros!$B$19,Parâmetros!$B$8)</f>
        <v>0.0244038339849275</v>
      </c>
      <c r="H858" s="3" t="str">
        <f aca="false">IF(F858&gt;=Parâmetros!$B$6,"Ação","Acompanhamento")</f>
        <v>Acompanhamento</v>
      </c>
      <c r="I858" s="17" t="n">
        <v>302.616772823779</v>
      </c>
      <c r="J858" s="11" t="n">
        <f aca="false">D858*I858</f>
        <v>2253382.13375796</v>
      </c>
      <c r="K858" s="7" t="n">
        <f aca="false">Parâmetros!$B$4+Parâmetros!$B$5*F858</f>
        <v>0.02</v>
      </c>
      <c r="L858" s="11" t="n">
        <f aca="false">D858*(1+G858)</f>
        <v>7628.04148532445</v>
      </c>
      <c r="M858" s="14" t="n">
        <v>0</v>
      </c>
      <c r="N858" s="4" t="n">
        <v>0.773333333333333</v>
      </c>
      <c r="O858" s="3" t="str">
        <f aca="false">IF(AND(B858=4,M858=1),IF(N858&lt;0.8,"Subgrupo 7 dias; fronteira de cluster","Subgrupo 7 dias"),IF(N858&lt;0.8,"Fronteira de cluster",""))</f>
        <v>Fronteira de cluster</v>
      </c>
    </row>
    <row r="859" customFormat="false" ht="15" hidden="false" customHeight="false" outlineLevel="0" collapsed="false">
      <c r="A859" s="14" t="n">
        <v>858</v>
      </c>
      <c r="B859" s="14" t="n">
        <v>1</v>
      </c>
      <c r="C859" s="14" t="s">
        <v>30</v>
      </c>
      <c r="D859" s="15" t="n">
        <v>4755.60450160772</v>
      </c>
      <c r="E859" s="16" t="n">
        <f aca="false">INDEX(Parâmetros!$C$33:$C$37,MATCH(B859,Parâmetros!$A$33:$A$37,0))</f>
        <v>6959.92435130262</v>
      </c>
      <c r="F859" s="7" t="n">
        <f aca="false">MAX(0,(E859-D859)/D859)</f>
        <v>0.463520431303674</v>
      </c>
      <c r="G859" s="7" t="n">
        <f aca="false">MIN(K859*Parâmetros!$B$19,Parâmetros!$B$8)</f>
        <v>0.165799779661888</v>
      </c>
      <c r="H859" s="3" t="str">
        <f aca="false">IF(F859&gt;=Parâmetros!$B$6,"Ação","Acompanhamento")</f>
        <v>Ação</v>
      </c>
      <c r="I859" s="17" t="n">
        <v>299.511873350924</v>
      </c>
      <c r="J859" s="11" t="n">
        <f aca="false">D859*I859</f>
        <v>1424360.01319261</v>
      </c>
      <c r="K859" s="7" t="n">
        <f aca="false">Parâmetros!$B$4+Parâmetros!$B$5*F859</f>
        <v>0.135880107825919</v>
      </c>
      <c r="L859" s="11" t="n">
        <f aca="false">D859*(1+G859)</f>
        <v>5544.08268013336</v>
      </c>
      <c r="M859" s="14" t="n">
        <v>0</v>
      </c>
      <c r="N859" s="4" t="n">
        <v>0.987654320987654</v>
      </c>
      <c r="O859" s="3" t="str">
        <f aca="false">IF(AND(B859=4,M859=1),IF(N859&lt;0.8,"Subgrupo 7 dias; fronteira de cluster","Subgrupo 7 dias"),IF(N859&lt;0.8,"Fronteira de cluster",""))</f>
        <v/>
      </c>
    </row>
    <row r="860" customFormat="false" ht="15" hidden="false" customHeight="false" outlineLevel="0" collapsed="false">
      <c r="A860" s="14" t="n">
        <v>859</v>
      </c>
      <c r="B860" s="14" t="n">
        <v>1</v>
      </c>
      <c r="C860" s="14" t="s">
        <v>30</v>
      </c>
      <c r="D860" s="15" t="n">
        <v>7503.74919614148</v>
      </c>
      <c r="E860" s="16" t="n">
        <f aca="false">INDEX(Parâmetros!$C$33:$C$37,MATCH(B860,Parâmetros!$A$33:$A$37,0))</f>
        <v>6959.92435130262</v>
      </c>
      <c r="F860" s="7" t="n">
        <f aca="false">MAX(0,(E860-D860)/D860)</f>
        <v>0</v>
      </c>
      <c r="G860" s="7" t="n">
        <f aca="false">MIN(K860*Parâmetros!$B$19,Parâmetros!$B$8)</f>
        <v>0.0244038339849275</v>
      </c>
      <c r="H860" s="3" t="str">
        <f aca="false">IF(F860&gt;=Parâmetros!$B$6,"Ação","Acompanhamento")</f>
        <v>Acompanhamento</v>
      </c>
      <c r="I860" s="17" t="n">
        <v>299.511873350924</v>
      </c>
      <c r="J860" s="11" t="n">
        <f aca="false">D860*I860</f>
        <v>2247461.97889182</v>
      </c>
      <c r="K860" s="7" t="n">
        <f aca="false">Parâmetros!$B$4+Parâmetros!$B$5*F860</f>
        <v>0.02</v>
      </c>
      <c r="L860" s="11" t="n">
        <f aca="false">D860*(1+G860)</f>
        <v>7686.86944578865</v>
      </c>
      <c r="M860" s="14" t="n">
        <v>0</v>
      </c>
      <c r="N860" s="4" t="n">
        <v>1</v>
      </c>
      <c r="O860" s="3" t="str">
        <f aca="false">IF(AND(B860=4,M860=1),IF(N860&lt;0.8,"Subgrupo 7 dias; fronteira de cluster","Subgrupo 7 dias"),IF(N860&lt;0.8,"Fronteira de cluster",""))</f>
        <v/>
      </c>
    </row>
    <row r="861" customFormat="false" ht="15" hidden="false" customHeight="false" outlineLevel="0" collapsed="false">
      <c r="A861" s="14" t="n">
        <v>860</v>
      </c>
      <c r="B861" s="14" t="n">
        <v>2</v>
      </c>
      <c r="C861" s="14" t="s">
        <v>31</v>
      </c>
      <c r="D861" s="15" t="n">
        <v>5781.33375959079</v>
      </c>
      <c r="E861" s="16" t="n">
        <f aca="false">INDEX(Parâmetros!$C$33:$C$37,MATCH(B861,Parâmetros!$A$33:$A$37,0))</f>
        <v>6324.80102695764</v>
      </c>
      <c r="F861" s="7" t="n">
        <f aca="false">MAX(0,(E861-D861)/D861)</f>
        <v>0.0940037870094033</v>
      </c>
      <c r="G861" s="7" t="n">
        <f aca="false">MIN(K861*Parâmetros!$B$19,Parâmetros!$B$8)</f>
        <v>0.0530794941365769</v>
      </c>
      <c r="H861" s="3" t="str">
        <f aca="false">IF(F861&gt;=Parâmetros!$B$6,"Ação","Acompanhamento")</f>
        <v>Acompanhamento</v>
      </c>
      <c r="I861" s="17" t="n">
        <v>303.004246284501</v>
      </c>
      <c r="J861" s="11" t="n">
        <f aca="false">D861*I861</f>
        <v>1751768.67834395</v>
      </c>
      <c r="K861" s="7" t="n">
        <f aca="false">Parâmetros!$B$4+Parâmetros!$B$5*F861</f>
        <v>0.0435009467523508</v>
      </c>
      <c r="L861" s="11" t="n">
        <f aca="false">D861*(1+G861)</f>
        <v>6088.20403098459</v>
      </c>
      <c r="M861" s="14" t="n">
        <v>0</v>
      </c>
      <c r="N861" s="4" t="n">
        <v>0.975903614457831</v>
      </c>
      <c r="O861" s="3" t="str">
        <f aca="false">IF(AND(B861=4,M861=1),IF(N861&lt;0.8,"Subgrupo 7 dias; fronteira de cluster","Subgrupo 7 dias"),IF(N861&lt;0.8,"Fronteira de cluster",""))</f>
        <v/>
      </c>
    </row>
    <row r="862" customFormat="false" ht="15" hidden="false" customHeight="false" outlineLevel="0" collapsed="false">
      <c r="A862" s="14" t="n">
        <v>861</v>
      </c>
      <c r="B862" s="14" t="n">
        <v>2</v>
      </c>
      <c r="C862" s="14" t="s">
        <v>31</v>
      </c>
      <c r="D862" s="15" t="n">
        <v>3500.34947643979</v>
      </c>
      <c r="E862" s="16" t="n">
        <f aca="false">INDEX(Parâmetros!$C$33:$C$37,MATCH(B862,Parâmetros!$A$33:$A$37,0))</f>
        <v>6324.80102695764</v>
      </c>
      <c r="F862" s="7" t="n">
        <f aca="false">MAX(0,(E862-D862)/D862)</f>
        <v>0.806905587435972</v>
      </c>
      <c r="G862" s="7" t="n">
        <f aca="false">MIN(K862*Parâmetros!$B$19,Parâmetros!$B$8)</f>
        <v>0.2</v>
      </c>
      <c r="H862" s="3" t="str">
        <f aca="false">IF(F862&gt;=Parâmetros!$B$6,"Ação","Acompanhamento")</f>
        <v>Ação</v>
      </c>
      <c r="I862" s="17" t="n">
        <v>296.029723991508</v>
      </c>
      <c r="J862" s="11" t="n">
        <f aca="false">D862*I862</f>
        <v>1036207.48938429</v>
      </c>
      <c r="K862" s="7" t="n">
        <f aca="false">Parâmetros!$B$4+Parâmetros!$B$5*F862</f>
        <v>0.221726396858993</v>
      </c>
      <c r="L862" s="11" t="n">
        <f aca="false">D862*(1+G862)</f>
        <v>4200.41937172775</v>
      </c>
      <c r="M862" s="14" t="n">
        <v>0</v>
      </c>
      <c r="N862" s="4" t="n">
        <v>0.987654320987654</v>
      </c>
      <c r="O862" s="3" t="str">
        <f aca="false">IF(AND(B862=4,M862=1),IF(N862&lt;0.8,"Subgrupo 7 dias; fronteira de cluster","Subgrupo 7 dias"),IF(N862&lt;0.8,"Fronteira de cluster",""))</f>
        <v/>
      </c>
    </row>
    <row r="863" customFormat="false" ht="15" hidden="false" customHeight="false" outlineLevel="0" collapsed="false">
      <c r="A863" s="14" t="n">
        <v>862</v>
      </c>
      <c r="B863" s="14" t="n">
        <v>2</v>
      </c>
      <c r="C863" s="14" t="s">
        <v>31</v>
      </c>
      <c r="D863" s="15" t="n">
        <v>8565.13392857143</v>
      </c>
      <c r="E863" s="16" t="n">
        <f aca="false">INDEX(Parâmetros!$C$33:$C$37,MATCH(B863,Parâmetros!$A$33:$A$37,0))</f>
        <v>6324.80102695764</v>
      </c>
      <c r="F863" s="7" t="n">
        <f aca="false">MAX(0,(E863-D863)/D863)</f>
        <v>0</v>
      </c>
      <c r="G863" s="7" t="n">
        <f aca="false">MIN(K863*Parâmetros!$B$19,Parâmetros!$B$8)</f>
        <v>0.0244038339849275</v>
      </c>
      <c r="H863" s="3" t="str">
        <f aca="false">IF(F863&gt;=Parâmetros!$B$6,"Ação","Acompanhamento")</f>
        <v>Acompanhamento</v>
      </c>
      <c r="I863" s="17" t="n">
        <v>303.779193205945</v>
      </c>
      <c r="J863" s="11" t="n">
        <f aca="false">D863*I863</f>
        <v>2601909.47452229</v>
      </c>
      <c r="K863" s="7" t="n">
        <f aca="false">Parâmetros!$B$4+Parâmetros!$B$5*F863</f>
        <v>0.02</v>
      </c>
      <c r="L863" s="11" t="n">
        <f aca="false">D863*(1+G863)</f>
        <v>8774.15603502296</v>
      </c>
      <c r="M863" s="14" t="n">
        <v>0</v>
      </c>
      <c r="N863" s="4" t="n">
        <v>0.518987341772152</v>
      </c>
      <c r="O863" s="3" t="str">
        <f aca="false">IF(AND(B863=4,M863=1),IF(N863&lt;0.8,"Subgrupo 7 dias; fronteira de cluster","Subgrupo 7 dias"),IF(N863&lt;0.8,"Fronteira de cluster",""))</f>
        <v>Fronteira de cluster</v>
      </c>
    </row>
    <row r="864" customFormat="false" ht="15" hidden="false" customHeight="false" outlineLevel="0" collapsed="false">
      <c r="A864" s="14" t="n">
        <v>863</v>
      </c>
      <c r="B864" s="14" t="n">
        <v>3</v>
      </c>
      <c r="C864" s="14" t="s">
        <v>32</v>
      </c>
      <c r="D864" s="15" t="n">
        <v>7707.84780157835</v>
      </c>
      <c r="E864" s="16" t="n">
        <f aca="false">INDEX(Parâmetros!$C$33:$C$37,MATCH(B864,Parâmetros!$A$33:$A$37,0))</f>
        <v>5909.24487179487</v>
      </c>
      <c r="F864" s="7" t="n">
        <f aca="false">MAX(0,(E864-D864)/D864)</f>
        <v>0</v>
      </c>
      <c r="G864" s="7" t="n">
        <f aca="false">MIN(K864*Parâmetros!$B$19,Parâmetros!$B$8)</f>
        <v>0.0244038339849275</v>
      </c>
      <c r="H864" s="3" t="str">
        <f aca="false">IF(F864&gt;=Parâmetros!$B$6,"Ação","Acompanhamento")</f>
        <v>Acompanhamento</v>
      </c>
      <c r="I864" s="17" t="n">
        <v>343.688959660297</v>
      </c>
      <c r="J864" s="11" t="n">
        <f aca="false">D864*I864</f>
        <v>2649102.19214437</v>
      </c>
      <c r="K864" s="7" t="n">
        <f aca="false">Parâmetros!$B$4+Parâmetros!$B$5*F864</f>
        <v>0.02</v>
      </c>
      <c r="L864" s="11" t="n">
        <f aca="false">D864*(1+G864)</f>
        <v>7895.94883970916</v>
      </c>
      <c r="M864" s="14" t="n">
        <v>1</v>
      </c>
      <c r="N864" s="4" t="n">
        <v>1</v>
      </c>
      <c r="O864" s="3" t="str">
        <f aca="false">IF(AND(B864=4,M864=1),IF(N864&lt;0.8,"Subgrupo 7 dias; fronteira de cluster","Subgrupo 7 dias"),IF(N864&lt;0.8,"Fronteira de cluster",""))</f>
        <v/>
      </c>
    </row>
    <row r="865" customFormat="false" ht="15" hidden="false" customHeight="false" outlineLevel="0" collapsed="false">
      <c r="A865" s="14" t="n">
        <v>864</v>
      </c>
      <c r="B865" s="14" t="n">
        <v>0</v>
      </c>
      <c r="C865" s="14" t="s">
        <v>29</v>
      </c>
      <c r="D865" s="15" t="n">
        <v>4268.43629343629</v>
      </c>
      <c r="E865" s="16" t="n">
        <f aca="false">INDEX(Parâmetros!$C$33:$C$37,MATCH(B865,Parâmetros!$A$33:$A$37,0))</f>
        <v>5476.37033462034</v>
      </c>
      <c r="F865" s="7" t="n">
        <f aca="false">MAX(0,(E865-D865)/D865)</f>
        <v>0.28299216812525</v>
      </c>
      <c r="G865" s="7" t="n">
        <f aca="false">MIN(K865*Parâmetros!$B$19,Parâmetros!$B$8)</f>
        <v>0.110730007609468</v>
      </c>
      <c r="H865" s="3" t="str">
        <f aca="false">IF(F865&gt;=Parâmetros!$B$6,"Ação","Acompanhamento")</f>
        <v>Ação</v>
      </c>
      <c r="I865" s="17" t="n">
        <v>301.066878980892</v>
      </c>
      <c r="J865" s="11" t="n">
        <f aca="false">D865*I865</f>
        <v>1285084.79299363</v>
      </c>
      <c r="K865" s="7" t="n">
        <f aca="false">Parâmetros!$B$4+Parâmetros!$B$5*F865</f>
        <v>0.0907480420313124</v>
      </c>
      <c r="L865" s="11" t="n">
        <f aca="false">D865*(1+G865)</f>
        <v>4741.08027668903</v>
      </c>
      <c r="M865" s="14" t="n">
        <v>0</v>
      </c>
      <c r="N865" s="4" t="n">
        <v>1</v>
      </c>
      <c r="O865" s="3" t="str">
        <f aca="false">IF(AND(B865=4,M865=1),IF(N865&lt;0.8,"Subgrupo 7 dias; fronteira de cluster","Subgrupo 7 dias"),IF(N865&lt;0.8,"Fronteira de cluster",""))</f>
        <v/>
      </c>
    </row>
    <row r="866" customFormat="false" ht="15" hidden="false" customHeight="false" outlineLevel="0" collapsed="false">
      <c r="A866" s="14" t="n">
        <v>865</v>
      </c>
      <c r="B866" s="14" t="n">
        <v>1</v>
      </c>
      <c r="C866" s="14" t="s">
        <v>30</v>
      </c>
      <c r="D866" s="15" t="n">
        <v>7566.58408215661</v>
      </c>
      <c r="E866" s="16" t="n">
        <f aca="false">INDEX(Parâmetros!$C$33:$C$37,MATCH(B866,Parâmetros!$A$33:$A$37,0))</f>
        <v>6959.92435130262</v>
      </c>
      <c r="F866" s="7" t="n">
        <f aca="false">MAX(0,(E866-D866)/D866)</f>
        <v>0</v>
      </c>
      <c r="G866" s="7" t="n">
        <f aca="false">MIN(K866*Parâmetros!$B$19,Parâmetros!$B$8)</f>
        <v>0.0244038339849275</v>
      </c>
      <c r="H866" s="3" t="str">
        <f aca="false">IF(F866&gt;=Parâmetros!$B$6,"Ação","Acompanhamento")</f>
        <v>Acompanhamento</v>
      </c>
      <c r="I866" s="17" t="n">
        <v>301.841825902336</v>
      </c>
      <c r="J866" s="11" t="n">
        <f aca="false">D866*I866</f>
        <v>2283911.5552017</v>
      </c>
      <c r="K866" s="7" t="n">
        <f aca="false">Parâmetros!$B$4+Parâmetros!$B$5*F866</f>
        <v>0.02</v>
      </c>
      <c r="L866" s="11" t="n">
        <f aca="false">D866*(1+G866)</f>
        <v>7751.23774393056</v>
      </c>
      <c r="M866" s="14" t="n">
        <v>0</v>
      </c>
      <c r="N866" s="4" t="n">
        <v>1</v>
      </c>
      <c r="O866" s="3" t="str">
        <f aca="false">IF(AND(B866=4,M866=1),IF(N866&lt;0.8,"Subgrupo 7 dias; fronteira de cluster","Subgrupo 7 dias"),IF(N866&lt;0.8,"Fronteira de cluster",""))</f>
        <v/>
      </c>
    </row>
    <row r="867" customFormat="false" ht="15" hidden="false" customHeight="false" outlineLevel="0" collapsed="false">
      <c r="A867" s="14" t="n">
        <v>866</v>
      </c>
      <c r="B867" s="14" t="n">
        <v>1</v>
      </c>
      <c r="C867" s="14" t="s">
        <v>30</v>
      </c>
      <c r="D867" s="15" t="n">
        <v>6873.39180537772</v>
      </c>
      <c r="E867" s="16" t="n">
        <f aca="false">INDEX(Parâmetros!$C$33:$C$37,MATCH(B867,Parâmetros!$A$33:$A$37,0))</f>
        <v>6959.92435130262</v>
      </c>
      <c r="F867" s="7" t="n">
        <f aca="false">MAX(0,(E867-D867)/D867)</f>
        <v>0.0125894970598356</v>
      </c>
      <c r="G867" s="7" t="n">
        <f aca="false">MIN(K867*Parâmetros!$B$19,Parâmetros!$B$8)</f>
        <v>0.0282442339374519</v>
      </c>
      <c r="H867" s="3" t="str">
        <f aca="false">IF(F867&gt;=Parâmetros!$B$6,"Ação","Acompanhamento")</f>
        <v>Acompanhamento</v>
      </c>
      <c r="I867" s="17" t="n">
        <v>302.616772823779</v>
      </c>
      <c r="J867" s="11" t="n">
        <f aca="false">D867*I867</f>
        <v>2080003.64649682</v>
      </c>
      <c r="K867" s="7" t="n">
        <f aca="false">Parâmetros!$B$4+Parâmetros!$B$5*F867</f>
        <v>0.0231473742649589</v>
      </c>
      <c r="L867" s="11" t="n">
        <f aca="false">D867*(1+G867)</f>
        <v>7067.52549147258</v>
      </c>
      <c r="M867" s="14" t="n">
        <v>0</v>
      </c>
      <c r="N867" s="4" t="n">
        <v>1</v>
      </c>
      <c r="O867" s="3" t="str">
        <f aca="false">IF(AND(B867=4,M867=1),IF(N867&lt;0.8,"Subgrupo 7 dias; fronteira de cluster","Subgrupo 7 dias"),IF(N867&lt;0.8,"Fronteira de cluster",""))</f>
        <v/>
      </c>
    </row>
    <row r="868" customFormat="false" ht="15" hidden="false" customHeight="false" outlineLevel="0" collapsed="false">
      <c r="A868" s="14" t="n">
        <v>867</v>
      </c>
      <c r="B868" s="14" t="n">
        <v>2</v>
      </c>
      <c r="C868" s="14" t="s">
        <v>31</v>
      </c>
      <c r="D868" s="15" t="n">
        <v>4329.22159090909</v>
      </c>
      <c r="E868" s="16" t="n">
        <f aca="false">INDEX(Parâmetros!$C$33:$C$37,MATCH(B868,Parâmetros!$A$33:$A$37,0))</f>
        <v>6324.80102695764</v>
      </c>
      <c r="F868" s="7" t="n">
        <f aca="false">MAX(0,(E868-D868)/D868)</f>
        <v>0.460955715512242</v>
      </c>
      <c r="G868" s="7" t="n">
        <f aca="false">MIN(K868*Parâmetros!$B$19,Parâmetros!$B$8)</f>
        <v>0.16501741843198</v>
      </c>
      <c r="H868" s="3" t="str">
        <f aca="false">IF(F868&gt;=Parâmetros!$B$6,"Ação","Acompanhamento")</f>
        <v>Ação</v>
      </c>
      <c r="I868" s="17" t="n">
        <v>340.976645435244</v>
      </c>
      <c r="J868" s="11" t="n">
        <f aca="false">D868*I868</f>
        <v>1476163.45541401</v>
      </c>
      <c r="K868" s="7" t="n">
        <f aca="false">Parâmetros!$B$4+Parâmetros!$B$5*F868</f>
        <v>0.135238928878061</v>
      </c>
      <c r="L868" s="11" t="n">
        <f aca="false">D868*(1+G868)</f>
        <v>5043.6185616609</v>
      </c>
      <c r="M868" s="14" t="n">
        <v>1</v>
      </c>
      <c r="N868" s="4" t="n">
        <v>0.924050632911392</v>
      </c>
      <c r="O868" s="3" t="str">
        <f aca="false">IF(AND(B868=4,M868=1),IF(N868&lt;0.8,"Subgrupo 7 dias; fronteira de cluster","Subgrupo 7 dias"),IF(N868&lt;0.8,"Fronteira de cluster",""))</f>
        <v/>
      </c>
    </row>
    <row r="869" customFormat="false" ht="15" hidden="false" customHeight="false" outlineLevel="0" collapsed="false">
      <c r="A869" s="14" t="n">
        <v>868</v>
      </c>
      <c r="B869" s="14" t="n">
        <v>1</v>
      </c>
      <c r="C869" s="14" t="s">
        <v>30</v>
      </c>
      <c r="D869" s="15" t="n">
        <v>9578.29961587708</v>
      </c>
      <c r="E869" s="16" t="n">
        <f aca="false">INDEX(Parâmetros!$C$33:$C$37,MATCH(B869,Parâmetros!$A$33:$A$37,0))</f>
        <v>6959.92435130262</v>
      </c>
      <c r="F869" s="7" t="n">
        <f aca="false">MAX(0,(E869-D869)/D869)</f>
        <v>0</v>
      </c>
      <c r="G869" s="7" t="n">
        <f aca="false">MIN(K869*Parâmetros!$B$19,Parâmetros!$B$8)</f>
        <v>0.0244038339849275</v>
      </c>
      <c r="H869" s="3" t="str">
        <f aca="false">IF(F869&gt;=Parâmetros!$B$6,"Ação","Acompanhamento")</f>
        <v>Acompanhamento</v>
      </c>
      <c r="I869" s="17" t="n">
        <v>302.616772823779</v>
      </c>
      <c r="J869" s="11" t="n">
        <f aca="false">D869*I869</f>
        <v>2898554.11889597</v>
      </c>
      <c r="K869" s="7" t="n">
        <f aca="false">Parâmetros!$B$4+Parâmetros!$B$5*F869</f>
        <v>0.02</v>
      </c>
      <c r="L869" s="11" t="n">
        <f aca="false">D869*(1+G869)</f>
        <v>9812.04684956084</v>
      </c>
      <c r="M869" s="14" t="n">
        <v>0</v>
      </c>
      <c r="N869" s="4" t="n">
        <v>1</v>
      </c>
      <c r="O869" s="3" t="str">
        <f aca="false">IF(AND(B869=4,M869=1),IF(N869&lt;0.8,"Subgrupo 7 dias; fronteira de cluster","Subgrupo 7 dias"),IF(N869&lt;0.8,"Fronteira de cluster",""))</f>
        <v/>
      </c>
    </row>
    <row r="870" customFormat="false" ht="15" hidden="false" customHeight="false" outlineLevel="0" collapsed="false">
      <c r="A870" s="14" t="n">
        <v>869</v>
      </c>
      <c r="B870" s="14" t="n">
        <v>0</v>
      </c>
      <c r="C870" s="14" t="s">
        <v>29</v>
      </c>
      <c r="D870" s="15" t="n">
        <v>5973.30769230769</v>
      </c>
      <c r="E870" s="16" t="n">
        <f aca="false">INDEX(Parâmetros!$C$33:$C$37,MATCH(B870,Parâmetros!$A$33:$A$37,0))</f>
        <v>5476.37033462034</v>
      </c>
      <c r="F870" s="7" t="n">
        <f aca="false">MAX(0,(E870-D870)/D870)</f>
        <v>0</v>
      </c>
      <c r="G870" s="7" t="n">
        <f aca="false">MIN(K870*Parâmetros!$B$19,Parâmetros!$B$8)</f>
        <v>0.0244038339849275</v>
      </c>
      <c r="H870" s="3" t="str">
        <f aca="false">IF(F870&gt;=Parâmetros!$B$6,"Ação","Acompanhamento")</f>
        <v>Acompanhamento</v>
      </c>
      <c r="I870" s="17" t="n">
        <v>302.229299363057</v>
      </c>
      <c r="J870" s="11" t="n">
        <f aca="false">D870*I870</f>
        <v>1805308.59872611</v>
      </c>
      <c r="K870" s="7" t="n">
        <f aca="false">Parâmetros!$B$4+Parâmetros!$B$5*F870</f>
        <v>0.02</v>
      </c>
      <c r="L870" s="11" t="n">
        <f aca="false">D870*(1+G870)</f>
        <v>6119.07930157166</v>
      </c>
      <c r="M870" s="14" t="n">
        <v>0</v>
      </c>
      <c r="N870" s="4" t="n">
        <v>0.98780487804878</v>
      </c>
      <c r="O870" s="3" t="str">
        <f aca="false">IF(AND(B870=4,M870=1),IF(N870&lt;0.8,"Subgrupo 7 dias; fronteira de cluster","Subgrupo 7 dias"),IF(N870&lt;0.8,"Fronteira de cluster",""))</f>
        <v/>
      </c>
    </row>
    <row r="871" customFormat="false" ht="15" hidden="false" customHeight="false" outlineLevel="0" collapsed="false">
      <c r="A871" s="14" t="n">
        <v>870</v>
      </c>
      <c r="B871" s="14" t="n">
        <v>4</v>
      </c>
      <c r="C871" s="14" t="s">
        <v>33</v>
      </c>
      <c r="D871" s="15" t="n">
        <v>6929.20466321244</v>
      </c>
      <c r="E871" s="16" t="n">
        <f aca="false">INDEX(Parâmetros!$C$33:$C$37,MATCH(B871,Parâmetros!$A$33:$A$37,0))</f>
        <v>8837.10512820513</v>
      </c>
      <c r="F871" s="7" t="n">
        <f aca="false">MAX(0,(E871-D871)/D871)</f>
        <v>0.275341912632752</v>
      </c>
      <c r="G871" s="7" t="n">
        <f aca="false">MIN(K871*Parâmetros!$B$19,Parâmetros!$B$8)</f>
        <v>0.108396313047203</v>
      </c>
      <c r="H871" s="3" t="str">
        <f aca="false">IF(F871&gt;=Parâmetros!$B$6,"Ação","Acompanhamento")</f>
        <v>Ação</v>
      </c>
      <c r="I871" s="17" t="n">
        <v>299.129511677282</v>
      </c>
      <c r="J871" s="11" t="n">
        <f aca="false">D871*I871</f>
        <v>2072729.60721868</v>
      </c>
      <c r="K871" s="7" t="n">
        <f aca="false">Parâmetros!$B$4+Parâmetros!$B$5*F871</f>
        <v>0.0888354781581879</v>
      </c>
      <c r="L871" s="11" t="n">
        <f aca="false">D871*(1+G871)</f>
        <v>7680.30490105415</v>
      </c>
      <c r="M871" s="14" t="n">
        <v>0</v>
      </c>
      <c r="N871" s="4" t="n">
        <v>1</v>
      </c>
      <c r="O871" s="3" t="str">
        <f aca="false">IF(AND(B871=4,M871=1),IF(N871&lt;0.8,"Subgrupo 7 dias; fronteira de cluster","Subgrupo 7 dias"),IF(N871&lt;0.8,"Fronteira de cluster",""))</f>
        <v/>
      </c>
    </row>
    <row r="872" customFormat="false" ht="15" hidden="false" customHeight="false" outlineLevel="0" collapsed="false">
      <c r="A872" s="14" t="n">
        <v>871</v>
      </c>
      <c r="B872" s="14" t="n">
        <v>1</v>
      </c>
      <c r="C872" s="14" t="s">
        <v>30</v>
      </c>
      <c r="D872" s="15" t="n">
        <v>6260.4980793854</v>
      </c>
      <c r="E872" s="16" t="n">
        <f aca="false">INDEX(Parâmetros!$C$33:$C$37,MATCH(B872,Parâmetros!$A$33:$A$37,0))</f>
        <v>6959.92435130262</v>
      </c>
      <c r="F872" s="7" t="n">
        <f aca="false">MAX(0,(E872-D872)/D872)</f>
        <v>0.111720547318798</v>
      </c>
      <c r="G872" s="7" t="n">
        <f aca="false">MIN(K872*Parâmetros!$B$19,Parâmetros!$B$8)</f>
        <v>0.0584839551033421</v>
      </c>
      <c r="H872" s="3" t="str">
        <f aca="false">IF(F872&gt;=Parâmetros!$B$6,"Ação","Acompanhamento")</f>
        <v>Ação</v>
      </c>
      <c r="I872" s="17" t="n">
        <v>302.616772823779</v>
      </c>
      <c r="J872" s="11" t="n">
        <f aca="false">D872*I872</f>
        <v>1894531.72505308</v>
      </c>
      <c r="K872" s="7" t="n">
        <f aca="false">Parâmetros!$B$4+Parâmetros!$B$5*F872</f>
        <v>0.0479301368296994</v>
      </c>
      <c r="L872" s="11" t="n">
        <f aca="false">D872*(1+G872)</f>
        <v>6626.63676798474</v>
      </c>
      <c r="M872" s="14" t="n">
        <v>0</v>
      </c>
      <c r="N872" s="4" t="n">
        <v>0.987341772151899</v>
      </c>
      <c r="O872" s="3" t="str">
        <f aca="false">IF(AND(B872=4,M872=1),IF(N872&lt;0.8,"Subgrupo 7 dias; fronteira de cluster","Subgrupo 7 dias"),IF(N872&lt;0.8,"Fronteira de cluster",""))</f>
        <v/>
      </c>
    </row>
    <row r="873" customFormat="false" ht="15" hidden="false" customHeight="false" outlineLevel="0" collapsed="false">
      <c r="A873" s="14" t="n">
        <v>872</v>
      </c>
      <c r="B873" s="14" t="n">
        <v>1</v>
      </c>
      <c r="C873" s="14" t="s">
        <v>30</v>
      </c>
      <c r="D873" s="15" t="n">
        <v>8536.40693196406</v>
      </c>
      <c r="E873" s="16" t="n">
        <f aca="false">INDEX(Parâmetros!$C$33:$C$37,MATCH(B873,Parâmetros!$A$33:$A$37,0))</f>
        <v>6959.92435130262</v>
      </c>
      <c r="F873" s="7" t="n">
        <f aca="false">MAX(0,(E873-D873)/D873)</f>
        <v>0</v>
      </c>
      <c r="G873" s="7" t="n">
        <f aca="false">MIN(K873*Parâmetros!$B$19,Parâmetros!$B$8)</f>
        <v>0.0244038339849275</v>
      </c>
      <c r="H873" s="3" t="str">
        <f aca="false">IF(F873&gt;=Parâmetros!$B$6,"Ação","Acompanhamento")</f>
        <v>Acompanhamento</v>
      </c>
      <c r="I873" s="17" t="n">
        <v>301.841825902336</v>
      </c>
      <c r="J873" s="11" t="n">
        <f aca="false">D873*I873</f>
        <v>2576644.65498938</v>
      </c>
      <c r="K873" s="7" t="n">
        <f aca="false">Parâmetros!$B$4+Parâmetros!$B$5*F873</f>
        <v>0.02</v>
      </c>
      <c r="L873" s="11" t="n">
        <f aca="false">D873*(1+G873)</f>
        <v>8744.72798955949</v>
      </c>
      <c r="M873" s="14" t="n">
        <v>0</v>
      </c>
      <c r="N873" s="4" t="n">
        <v>1</v>
      </c>
      <c r="O873" s="3" t="str">
        <f aca="false">IF(AND(B873=4,M873=1),IF(N873&lt;0.8,"Subgrupo 7 dias; fronteira de cluster","Subgrupo 7 dias"),IF(N873&lt;0.8,"Fronteira de cluster",""))</f>
        <v/>
      </c>
    </row>
    <row r="874" customFormat="false" ht="15" hidden="false" customHeight="false" outlineLevel="0" collapsed="false">
      <c r="A874" s="14" t="n">
        <v>873</v>
      </c>
      <c r="B874" s="14" t="n">
        <v>0</v>
      </c>
      <c r="C874" s="14" t="s">
        <v>29</v>
      </c>
      <c r="D874" s="15" t="n">
        <v>3833.34487179487</v>
      </c>
      <c r="E874" s="16" t="n">
        <f aca="false">INDEX(Parâmetros!$C$33:$C$37,MATCH(B874,Parâmetros!$A$33:$A$37,0))</f>
        <v>5476.37033462034</v>
      </c>
      <c r="F874" s="7" t="n">
        <f aca="false">MAX(0,(E874-D874)/D874)</f>
        <v>0.428614047985762</v>
      </c>
      <c r="G874" s="7" t="n">
        <f aca="false">MIN(K874*Parâmetros!$B$19,Parâmetros!$B$8)</f>
        <v>0.155151659868081</v>
      </c>
      <c r="H874" s="3" t="str">
        <f aca="false">IF(F874&gt;=Parâmetros!$B$6,"Ação","Acompanhamento")</f>
        <v>Ação</v>
      </c>
      <c r="I874" s="17" t="n">
        <v>302.229299363057</v>
      </c>
      <c r="J874" s="11" t="n">
        <f aca="false">D874*I874</f>
        <v>1158549.13481953</v>
      </c>
      <c r="K874" s="7" t="n">
        <f aca="false">Parâmetros!$B$4+Parâmetros!$B$5*F874</f>
        <v>0.127153511996441</v>
      </c>
      <c r="L874" s="11" t="n">
        <f aca="false">D874*(1+G874)</f>
        <v>4428.09469150064</v>
      </c>
      <c r="M874" s="14" t="n">
        <v>0</v>
      </c>
      <c r="N874" s="4" t="n">
        <v>0.924050632911392</v>
      </c>
      <c r="O874" s="3" t="str">
        <f aca="false">IF(AND(B874=4,M874=1),IF(N874&lt;0.8,"Subgrupo 7 dias; fronteira de cluster","Subgrupo 7 dias"),IF(N874&lt;0.8,"Fronteira de cluster",""))</f>
        <v/>
      </c>
    </row>
    <row r="875" customFormat="false" ht="15" hidden="false" customHeight="false" outlineLevel="0" collapsed="false">
      <c r="A875" s="14" t="n">
        <v>874</v>
      </c>
      <c r="B875" s="14" t="n">
        <v>0</v>
      </c>
      <c r="C875" s="14" t="s">
        <v>29</v>
      </c>
      <c r="D875" s="15" t="n">
        <v>4583.69260204082</v>
      </c>
      <c r="E875" s="16" t="n">
        <f aca="false">INDEX(Parâmetros!$C$33:$C$37,MATCH(B875,Parâmetros!$A$33:$A$37,0))</f>
        <v>5476.37033462034</v>
      </c>
      <c r="F875" s="7" t="n">
        <f aca="false">MAX(0,(E875-D875)/D875)</f>
        <v>0.194750785029098</v>
      </c>
      <c r="G875" s="7" t="n">
        <f aca="false">MIN(K875*Parâmetros!$B$19,Parâmetros!$B$8)</f>
        <v>0.0838121568134825</v>
      </c>
      <c r="H875" s="3" t="str">
        <f aca="false">IF(F875&gt;=Parâmetros!$B$6,"Ação","Acompanhamento")</f>
        <v>Ação</v>
      </c>
      <c r="I875" s="17" t="n">
        <v>303.779193205945</v>
      </c>
      <c r="J875" s="11" t="n">
        <f aca="false">D875*I875</f>
        <v>1392430.44055202</v>
      </c>
      <c r="K875" s="7" t="n">
        <f aca="false">Parâmetros!$B$4+Parâmetros!$B$5*F875</f>
        <v>0.0686876962572745</v>
      </c>
      <c r="L875" s="11" t="n">
        <f aca="false">D875*(1+G875)</f>
        <v>4967.86176518786</v>
      </c>
      <c r="M875" s="14" t="n">
        <v>0</v>
      </c>
      <c r="N875" s="4" t="n">
        <v>0.719512195121951</v>
      </c>
      <c r="O875" s="3" t="str">
        <f aca="false">IF(AND(B875=4,M875=1),IF(N875&lt;0.8,"Subgrupo 7 dias; fronteira de cluster","Subgrupo 7 dias"),IF(N875&lt;0.8,"Fronteira de cluster",""))</f>
        <v>Fronteira de cluster</v>
      </c>
    </row>
    <row r="876" customFormat="false" ht="15" hidden="false" customHeight="false" outlineLevel="0" collapsed="false">
      <c r="A876" s="14" t="n">
        <v>875</v>
      </c>
      <c r="B876" s="14" t="n">
        <v>1</v>
      </c>
      <c r="C876" s="14" t="s">
        <v>30</v>
      </c>
      <c r="D876" s="15" t="n">
        <v>5061.66238767651</v>
      </c>
      <c r="E876" s="16" t="n">
        <f aca="false">INDEX(Parâmetros!$C$33:$C$37,MATCH(B876,Parâmetros!$A$33:$A$37,0))</f>
        <v>6959.92435130262</v>
      </c>
      <c r="F876" s="7" t="n">
        <f aca="false">MAX(0,(E876-D876)/D876)</f>
        <v>0.375027376035146</v>
      </c>
      <c r="G876" s="7" t="n">
        <f aca="false">MIN(K876*Parâmetros!$B$19,Parâmetros!$B$8)</f>
        <v>0.138805156791986</v>
      </c>
      <c r="H876" s="3" t="str">
        <f aca="false">IF(F876&gt;=Parâmetros!$B$6,"Ação","Acompanhamento")</f>
        <v>Ação</v>
      </c>
      <c r="I876" s="17" t="n">
        <v>301.841825902336</v>
      </c>
      <c r="J876" s="11" t="n">
        <f aca="false">D876*I876</f>
        <v>1527821.41719745</v>
      </c>
      <c r="K876" s="7" t="n">
        <f aca="false">Parâmetros!$B$4+Parâmetros!$B$5*F876</f>
        <v>0.113756844008787</v>
      </c>
      <c r="L876" s="11" t="n">
        <f aca="false">D876*(1+G876)</f>
        <v>5764.24722902604</v>
      </c>
      <c r="M876" s="14" t="n">
        <v>0</v>
      </c>
      <c r="N876" s="4" t="n">
        <v>0.55</v>
      </c>
      <c r="O876" s="3" t="str">
        <f aca="false">IF(AND(B876=4,M876=1),IF(N876&lt;0.8,"Subgrupo 7 dias; fronteira de cluster","Subgrupo 7 dias"),IF(N876&lt;0.8,"Fronteira de cluster",""))</f>
        <v>Fronteira de cluster</v>
      </c>
    </row>
    <row r="877" customFormat="false" ht="15" hidden="false" customHeight="false" outlineLevel="0" collapsed="false">
      <c r="A877" s="14" t="n">
        <v>876</v>
      </c>
      <c r="B877" s="14" t="n">
        <v>3</v>
      </c>
      <c r="C877" s="14" t="s">
        <v>32</v>
      </c>
      <c r="D877" s="15" t="n">
        <v>9228.90992167102</v>
      </c>
      <c r="E877" s="16" t="n">
        <f aca="false">INDEX(Parâmetros!$C$33:$C$37,MATCH(B877,Parâmetros!$A$33:$A$37,0))</f>
        <v>5909.24487179487</v>
      </c>
      <c r="F877" s="7" t="n">
        <f aca="false">MAX(0,(E877-D877)/D877)</f>
        <v>0</v>
      </c>
      <c r="G877" s="7" t="n">
        <f aca="false">MIN(K877*Parâmetros!$B$19,Parâmetros!$B$8)</f>
        <v>0.0244038339849275</v>
      </c>
      <c r="H877" s="3" t="str">
        <f aca="false">IF(F877&gt;=Parâmetros!$B$6,"Ação","Acompanhamento")</f>
        <v>Acompanhamento</v>
      </c>
      <c r="I877" s="17" t="n">
        <v>296.804670912951</v>
      </c>
      <c r="J877" s="11" t="n">
        <f aca="false">D877*I877</f>
        <v>2739183.57218684</v>
      </c>
      <c r="K877" s="7" t="n">
        <f aca="false">Parâmetros!$B$4+Parâmetros!$B$5*F877</f>
        <v>0.02</v>
      </c>
      <c r="L877" s="11" t="n">
        <f aca="false">D877*(1+G877)</f>
        <v>9454.13070726133</v>
      </c>
      <c r="M877" s="14" t="n">
        <v>0</v>
      </c>
      <c r="N877" s="4" t="n">
        <v>1</v>
      </c>
      <c r="O877" s="3" t="str">
        <f aca="false">IF(AND(B877=4,M877=1),IF(N877&lt;0.8,"Subgrupo 7 dias; fronteira de cluster","Subgrupo 7 dias"),IF(N877&lt;0.8,"Fronteira de cluster",""))</f>
        <v/>
      </c>
    </row>
    <row r="878" customFormat="false" ht="15" hidden="false" customHeight="false" outlineLevel="0" collapsed="false">
      <c r="A878" s="14" t="n">
        <v>877</v>
      </c>
      <c r="B878" s="14" t="n">
        <v>2</v>
      </c>
      <c r="C878" s="14" t="s">
        <v>31</v>
      </c>
      <c r="D878" s="15" t="n">
        <v>6331.50248138958</v>
      </c>
      <c r="E878" s="16" t="n">
        <f aca="false">INDEX(Parâmetros!$C$33:$C$37,MATCH(B878,Parâmetros!$A$33:$A$37,0))</f>
        <v>6324.80102695764</v>
      </c>
      <c r="F878" s="7" t="n">
        <f aca="false">MAX(0,(E878-D878)/D878)</f>
        <v>0</v>
      </c>
      <c r="G878" s="7" t="n">
        <f aca="false">MIN(K878*Parâmetros!$B$19,Parâmetros!$B$8)</f>
        <v>0.0244038339849275</v>
      </c>
      <c r="H878" s="3" t="str">
        <f aca="false">IF(F878&gt;=Parâmetros!$B$6,"Ação","Acompanhamento")</f>
        <v>Acompanhamento</v>
      </c>
      <c r="I878" s="17" t="n">
        <v>312.303609341826</v>
      </c>
      <c r="J878" s="11" t="n">
        <f aca="false">D878*I878</f>
        <v>1977351.07749469</v>
      </c>
      <c r="K878" s="7" t="n">
        <f aca="false">Parâmetros!$B$4+Parâmetros!$B$5*F878</f>
        <v>0.02</v>
      </c>
      <c r="L878" s="11" t="n">
        <f aca="false">D878*(1+G878)</f>
        <v>6486.01541682057</v>
      </c>
      <c r="M878" s="14" t="n">
        <v>1</v>
      </c>
      <c r="N878" s="4" t="n">
        <v>0.901408450704225</v>
      </c>
      <c r="O878" s="3" t="str">
        <f aca="false">IF(AND(B878=4,M878=1),IF(N878&lt;0.8,"Subgrupo 7 dias; fronteira de cluster","Subgrupo 7 dias"),IF(N878&lt;0.8,"Fronteira de cluster",""))</f>
        <v/>
      </c>
    </row>
    <row r="879" customFormat="false" ht="15" hidden="false" customHeight="false" outlineLevel="0" collapsed="false">
      <c r="A879" s="14" t="n">
        <v>878</v>
      </c>
      <c r="B879" s="14" t="n">
        <v>1</v>
      </c>
      <c r="C879" s="14" t="s">
        <v>30</v>
      </c>
      <c r="D879" s="15" t="n">
        <v>8720.08461538462</v>
      </c>
      <c r="E879" s="16" t="n">
        <f aca="false">INDEX(Parâmetros!$C$33:$C$37,MATCH(B879,Parâmetros!$A$33:$A$37,0))</f>
        <v>6959.92435130262</v>
      </c>
      <c r="F879" s="7" t="n">
        <f aca="false">MAX(0,(E879-D879)/D879)</f>
        <v>0</v>
      </c>
      <c r="G879" s="7" t="n">
        <f aca="false">MIN(K879*Parâmetros!$B$19,Parâmetros!$B$8)</f>
        <v>0.0244038339849275</v>
      </c>
      <c r="H879" s="3" t="str">
        <f aca="false">IF(F879&gt;=Parâmetros!$B$6,"Ação","Acompanhamento")</f>
        <v>Acompanhamento</v>
      </c>
      <c r="I879" s="17" t="n">
        <v>302.229299363057</v>
      </c>
      <c r="J879" s="11" t="n">
        <f aca="false">D879*I879</f>
        <v>2635465.06369427</v>
      </c>
      <c r="K879" s="7" t="n">
        <f aca="false">Parâmetros!$B$4+Parâmetros!$B$5*F879</f>
        <v>0.02</v>
      </c>
      <c r="L879" s="11" t="n">
        <f aca="false">D879*(1+G879)</f>
        <v>8932.88811267298</v>
      </c>
      <c r="M879" s="14" t="n">
        <v>0</v>
      </c>
      <c r="N879" s="4" t="n">
        <v>1</v>
      </c>
      <c r="O879" s="3" t="str">
        <f aca="false">IF(AND(B879=4,M879=1),IF(N879&lt;0.8,"Subgrupo 7 dias; fronteira de cluster","Subgrupo 7 dias"),IF(N879&lt;0.8,"Fronteira de cluster",""))</f>
        <v/>
      </c>
    </row>
    <row r="880" customFormat="false" ht="15" hidden="false" customHeight="false" outlineLevel="0" collapsed="false">
      <c r="A880" s="14" t="n">
        <v>879</v>
      </c>
      <c r="B880" s="14" t="n">
        <v>0</v>
      </c>
      <c r="C880" s="14" t="s">
        <v>29</v>
      </c>
      <c r="D880" s="15" t="n">
        <v>3762.98392282958</v>
      </c>
      <c r="E880" s="16" t="n">
        <f aca="false">INDEX(Parâmetros!$C$33:$C$37,MATCH(B880,Parâmetros!$A$33:$A$37,0))</f>
        <v>5476.37033462034</v>
      </c>
      <c r="F880" s="7" t="n">
        <f aca="false">MAX(0,(E880-D880)/D880)</f>
        <v>0.455326529937011</v>
      </c>
      <c r="G880" s="7" t="n">
        <f aca="false">MIN(K880*Parâmetros!$B$19,Parâmetros!$B$8)</f>
        <v>0.163300247053876</v>
      </c>
      <c r="H880" s="3" t="str">
        <f aca="false">IF(F880&gt;=Parâmetros!$B$6,"Ação","Acompanhamento")</f>
        <v>Ação</v>
      </c>
      <c r="I880" s="17" t="n">
        <v>299.511873350924</v>
      </c>
      <c r="J880" s="11" t="n">
        <f aca="false">D880*I880</f>
        <v>1127058.3641161</v>
      </c>
      <c r="K880" s="7" t="n">
        <f aca="false">Parâmetros!$B$4+Parâmetros!$B$5*F880</f>
        <v>0.133831632484253</v>
      </c>
      <c r="L880" s="11" t="n">
        <f aca="false">D880*(1+G880)</f>
        <v>4377.48012708742</v>
      </c>
      <c r="M880" s="14" t="n">
        <v>0</v>
      </c>
      <c r="N880" s="4" t="n">
        <v>0.949367088607595</v>
      </c>
      <c r="O880" s="3" t="str">
        <f aca="false">IF(AND(B880=4,M880=1),IF(N880&lt;0.8,"Subgrupo 7 dias; fronteira de cluster","Subgrupo 7 dias"),IF(N880&lt;0.8,"Fronteira de cluster",""))</f>
        <v/>
      </c>
    </row>
    <row r="881" customFormat="false" ht="15" hidden="false" customHeight="false" outlineLevel="0" collapsed="false">
      <c r="A881" s="14" t="n">
        <v>880</v>
      </c>
      <c r="B881" s="14" t="n">
        <v>1</v>
      </c>
      <c r="C881" s="14" t="s">
        <v>30</v>
      </c>
      <c r="D881" s="15" t="n">
        <v>7507.0592020592</v>
      </c>
      <c r="E881" s="16" t="n">
        <f aca="false">INDEX(Parâmetros!$C$33:$C$37,MATCH(B881,Parâmetros!$A$33:$A$37,0))</f>
        <v>6959.92435130262</v>
      </c>
      <c r="F881" s="7" t="n">
        <f aca="false">MAX(0,(E881-D881)/D881)</f>
        <v>0</v>
      </c>
      <c r="G881" s="7" t="n">
        <f aca="false">MIN(K881*Parâmetros!$B$19,Parâmetros!$B$8)</f>
        <v>0.0244038339849275</v>
      </c>
      <c r="H881" s="3" t="str">
        <f aca="false">IF(F881&gt;=Parâmetros!$B$6,"Ação","Acompanhamento")</f>
        <v>Acompanhamento</v>
      </c>
      <c r="I881" s="17" t="n">
        <v>301.066878980892</v>
      </c>
      <c r="J881" s="11" t="n">
        <f aca="false">D881*I881</f>
        <v>2260126.88428875</v>
      </c>
      <c r="K881" s="7" t="n">
        <f aca="false">Parâmetros!$B$4+Parâmetros!$B$5*F881</f>
        <v>0.02</v>
      </c>
      <c r="L881" s="11" t="n">
        <f aca="false">D881*(1+G881)</f>
        <v>7690.26022854128</v>
      </c>
      <c r="M881" s="14" t="n">
        <v>0</v>
      </c>
      <c r="N881" s="4" t="n">
        <v>1</v>
      </c>
      <c r="O881" s="3" t="str">
        <f aca="false">IF(AND(B881=4,M881=1),IF(N881&lt;0.8,"Subgrupo 7 dias; fronteira de cluster","Subgrupo 7 dias"),IF(N881&lt;0.8,"Fronteira de cluster",""))</f>
        <v/>
      </c>
    </row>
    <row r="882" customFormat="false" ht="15" hidden="false" customHeight="false" outlineLevel="0" collapsed="false">
      <c r="A882" s="14" t="n">
        <v>881</v>
      </c>
      <c r="B882" s="14" t="n">
        <v>0</v>
      </c>
      <c r="C882" s="14" t="s">
        <v>29</v>
      </c>
      <c r="D882" s="15" t="n">
        <v>4203.01668806162</v>
      </c>
      <c r="E882" s="16" t="n">
        <f aca="false">INDEX(Parâmetros!$C$33:$C$37,MATCH(B882,Parâmetros!$A$33:$A$37,0))</f>
        <v>5476.37033462034</v>
      </c>
      <c r="F882" s="7" t="n">
        <f aca="false">MAX(0,(E882-D882)/D882)</f>
        <v>0.302961834573627</v>
      </c>
      <c r="G882" s="7" t="n">
        <f aca="false">MIN(K882*Parâmetros!$B$19,Parâmetros!$B$8)</f>
        <v>0.116821712918726</v>
      </c>
      <c r="H882" s="3" t="str">
        <f aca="false">IF(F882&gt;=Parâmetros!$B$6,"Ação","Acompanhamento")</f>
        <v>Ação</v>
      </c>
      <c r="I882" s="17" t="n">
        <v>301.841825902336</v>
      </c>
      <c r="J882" s="11" t="n">
        <f aca="false">D882*I882</f>
        <v>1268646.23142251</v>
      </c>
      <c r="K882" s="7" t="n">
        <f aca="false">Parâmetros!$B$4+Parâmetros!$B$5*F882</f>
        <v>0.0957404586434068</v>
      </c>
      <c r="L882" s="11" t="n">
        <f aca="false">D882*(1+G882)</f>
        <v>4694.02029698696</v>
      </c>
      <c r="M882" s="14" t="n">
        <v>0</v>
      </c>
      <c r="N882" s="4" t="n">
        <v>0.988888888888889</v>
      </c>
      <c r="O882" s="3" t="str">
        <f aca="false">IF(AND(B882=4,M882=1),IF(N882&lt;0.8,"Subgrupo 7 dias; fronteira de cluster","Subgrupo 7 dias"),IF(N882&lt;0.8,"Fronteira de cluster",""))</f>
        <v/>
      </c>
    </row>
    <row r="883" customFormat="false" ht="15" hidden="false" customHeight="false" outlineLevel="0" collapsed="false">
      <c r="A883" s="14" t="n">
        <v>882</v>
      </c>
      <c r="B883" s="14" t="n">
        <v>4</v>
      </c>
      <c r="C883" s="14" t="s">
        <v>33</v>
      </c>
      <c r="D883" s="15" t="n">
        <v>6615.95572916667</v>
      </c>
      <c r="E883" s="16" t="n">
        <f aca="false">INDEX(Parâmetros!$C$33:$C$37,MATCH(B883,Parâmetros!$A$33:$A$37,0))</f>
        <v>8837.10512820513</v>
      </c>
      <c r="F883" s="7" t="n">
        <f aca="false">MAX(0,(E883-D883)/D883)</f>
        <v>0.335726158088762</v>
      </c>
      <c r="G883" s="7" t="n">
        <f aca="false">MIN(K883*Parâmetros!$B$19,Parâmetros!$B$8)</f>
        <v>0.126816401814873</v>
      </c>
      <c r="H883" s="3" t="str">
        <f aca="false">IF(F883&gt;=Parâmetros!$B$6,"Ação","Acompanhamento")</f>
        <v>Ação</v>
      </c>
      <c r="I883" s="17" t="n">
        <v>297.967091295117</v>
      </c>
      <c r="J883" s="11" t="n">
        <f aca="false">D883*I883</f>
        <v>1971337.08475706</v>
      </c>
      <c r="K883" s="7" t="n">
        <f aca="false">Parâmetros!$B$4+Parâmetros!$B$5*F883</f>
        <v>0.103931539522191</v>
      </c>
      <c r="L883" s="11" t="n">
        <f aca="false">D883*(1+G883)</f>
        <v>7454.96742930608</v>
      </c>
      <c r="M883" s="14" t="n">
        <v>0</v>
      </c>
      <c r="N883" s="4" t="n">
        <v>0.9</v>
      </c>
      <c r="O883" s="3" t="str">
        <f aca="false">IF(AND(B883=4,M883=1),IF(N883&lt;0.8,"Subgrupo 7 dias; fronteira de cluster","Subgrupo 7 dias"),IF(N883&lt;0.8,"Fronteira de cluster",""))</f>
        <v/>
      </c>
    </row>
    <row r="884" customFormat="false" ht="15" hidden="false" customHeight="false" outlineLevel="0" collapsed="false">
      <c r="A884" s="14" t="n">
        <v>883</v>
      </c>
      <c r="B884" s="14" t="n">
        <v>0</v>
      </c>
      <c r="C884" s="14" t="s">
        <v>29</v>
      </c>
      <c r="D884" s="15" t="n">
        <v>4768.65083440308</v>
      </c>
      <c r="E884" s="16" t="n">
        <f aca="false">INDEX(Parâmetros!$C$33:$C$37,MATCH(B884,Parâmetros!$A$33:$A$37,0))</f>
        <v>5476.37033462034</v>
      </c>
      <c r="F884" s="7" t="n">
        <f aca="false">MAX(0,(E884-D884)/D884)</f>
        <v>0.148410845078332</v>
      </c>
      <c r="G884" s="7" t="n">
        <f aca="false">MIN(K884*Parâmetros!$B$19,Parâmetros!$B$8)</f>
        <v>0.0696762542956074</v>
      </c>
      <c r="H884" s="3" t="str">
        <f aca="false">IF(F884&gt;=Parâmetros!$B$6,"Ação","Acompanhamento")</f>
        <v>Ação</v>
      </c>
      <c r="I884" s="17" t="n">
        <v>301.841825902336</v>
      </c>
      <c r="J884" s="11" t="n">
        <f aca="false">D884*I884</f>
        <v>1439378.27494692</v>
      </c>
      <c r="K884" s="7" t="n">
        <f aca="false">Parâmetros!$B$4+Parâmetros!$B$5*F884</f>
        <v>0.057102711269583</v>
      </c>
      <c r="L884" s="11" t="n">
        <f aca="false">D884*(1+G884)</f>
        <v>5100.91256258791</v>
      </c>
      <c r="M884" s="14" t="n">
        <v>0</v>
      </c>
      <c r="N884" s="4" t="n">
        <v>0.973684210526316</v>
      </c>
      <c r="O884" s="3" t="str">
        <f aca="false">IF(AND(B884=4,M884=1),IF(N884&lt;0.8,"Subgrupo 7 dias; fronteira de cluster","Subgrupo 7 dias"),IF(N884&lt;0.8,"Fronteira de cluster",""))</f>
        <v/>
      </c>
    </row>
    <row r="885" customFormat="false" ht="15" hidden="false" customHeight="false" outlineLevel="0" collapsed="false">
      <c r="A885" s="14" t="n">
        <v>884</v>
      </c>
      <c r="B885" s="14" t="n">
        <v>1</v>
      </c>
      <c r="C885" s="14" t="s">
        <v>30</v>
      </c>
      <c r="D885" s="15" t="n">
        <v>5536.90996784566</v>
      </c>
      <c r="E885" s="16" t="n">
        <f aca="false">INDEX(Parâmetros!$C$33:$C$37,MATCH(B885,Parâmetros!$A$33:$A$37,0))</f>
        <v>6959.92435130262</v>
      </c>
      <c r="F885" s="7" t="n">
        <f aca="false">MAX(0,(E885-D885)/D885)</f>
        <v>0.257005151198194</v>
      </c>
      <c r="G885" s="7" t="n">
        <f aca="false">MIN(K885*Parâmetros!$B$19,Parâmetros!$B$8)</f>
        <v>0.102802722023826</v>
      </c>
      <c r="H885" s="3" t="str">
        <f aca="false">IF(F885&gt;=Parâmetros!$B$6,"Ação","Acompanhamento")</f>
        <v>Ação</v>
      </c>
      <c r="I885" s="17" t="n">
        <v>299.511873350924</v>
      </c>
      <c r="J885" s="11" t="n">
        <f aca="false">D885*I885</f>
        <v>1658370.27704486</v>
      </c>
      <c r="K885" s="7" t="n">
        <f aca="false">Parâmetros!$B$4+Parâmetros!$B$5*F885</f>
        <v>0.0842512877995485</v>
      </c>
      <c r="L885" s="11" t="n">
        <f aca="false">D885*(1+G885)</f>
        <v>6106.11938414105</v>
      </c>
      <c r="M885" s="14" t="n">
        <v>0</v>
      </c>
      <c r="N885" s="4" t="n">
        <v>1</v>
      </c>
      <c r="O885" s="3" t="str">
        <f aca="false">IF(AND(B885=4,M885=1),IF(N885&lt;0.8,"Subgrupo 7 dias; fronteira de cluster","Subgrupo 7 dias"),IF(N885&lt;0.8,"Fronteira de cluster",""))</f>
        <v/>
      </c>
    </row>
    <row r="886" customFormat="false" ht="15" hidden="false" customHeight="false" outlineLevel="0" collapsed="false">
      <c r="A886" s="14" t="n">
        <v>885</v>
      </c>
      <c r="B886" s="14" t="n">
        <v>0</v>
      </c>
      <c r="C886" s="14" t="s">
        <v>29</v>
      </c>
      <c r="D886" s="15" t="n">
        <v>5458.67525773196</v>
      </c>
      <c r="E886" s="16" t="n">
        <f aca="false">INDEX(Parâmetros!$C$33:$C$37,MATCH(B886,Parâmetros!$A$33:$A$37,0))</f>
        <v>5476.37033462034</v>
      </c>
      <c r="F886" s="7" t="n">
        <f aca="false">MAX(0,(E886-D886)/D886)</f>
        <v>0.00324164308241474</v>
      </c>
      <c r="G886" s="7" t="n">
        <f aca="false">MIN(K886*Parâmetros!$B$19,Parâmetros!$B$8)</f>
        <v>0.0253926904801979</v>
      </c>
      <c r="H886" s="3" t="str">
        <f aca="false">IF(F886&gt;=Parâmetros!$B$6,"Ação","Acompanhamento")</f>
        <v>Acompanhamento</v>
      </c>
      <c r="I886" s="17" t="n">
        <v>300.67940552017</v>
      </c>
      <c r="J886" s="11" t="n">
        <f aca="false">D886*I886</f>
        <v>1641311.23142251</v>
      </c>
      <c r="K886" s="7" t="n">
        <f aca="false">Parâmetros!$B$4+Parâmetros!$B$5*F886</f>
        <v>0.0208104107706037</v>
      </c>
      <c r="L886" s="11" t="n">
        <f aca="false">D886*(1+G886)</f>
        <v>5597.28570898346</v>
      </c>
      <c r="M886" s="14" t="n">
        <v>0</v>
      </c>
      <c r="N886" s="4" t="n">
        <v>0.930232558139535</v>
      </c>
      <c r="O886" s="3" t="str">
        <f aca="false">IF(AND(B886=4,M886=1),IF(N886&lt;0.8,"Subgrupo 7 dias; fronteira de cluster","Subgrupo 7 dias"),IF(N886&lt;0.8,"Fronteira de cluster",""))</f>
        <v/>
      </c>
    </row>
    <row r="887" customFormat="false" ht="15" hidden="false" customHeight="false" outlineLevel="0" collapsed="false">
      <c r="A887" s="14" t="n">
        <v>886</v>
      </c>
      <c r="B887" s="14" t="n">
        <v>1</v>
      </c>
      <c r="C887" s="14" t="s">
        <v>30</v>
      </c>
      <c r="D887" s="15" t="n">
        <v>6442.72400513479</v>
      </c>
      <c r="E887" s="16" t="n">
        <f aca="false">INDEX(Parâmetros!$C$33:$C$37,MATCH(B887,Parâmetros!$A$33:$A$37,0))</f>
        <v>6959.92435130262</v>
      </c>
      <c r="F887" s="7" t="n">
        <f aca="false">MAX(0,(E887-D887)/D887)</f>
        <v>0.0802766571648312</v>
      </c>
      <c r="G887" s="7" t="n">
        <f aca="false">MIN(K887*Parâmetros!$B$19,Parâmetros!$B$8)</f>
        <v>0.0488920616638709</v>
      </c>
      <c r="H887" s="3" t="str">
        <f aca="false">IF(F887&gt;=Parâmetros!$B$6,"Ação","Acompanhamento")</f>
        <v>Acompanhamento</v>
      </c>
      <c r="I887" s="17" t="n">
        <v>301.841825902336</v>
      </c>
      <c r="J887" s="11" t="n">
        <f aca="false">D887*I887</f>
        <v>1944683.57749469</v>
      </c>
      <c r="K887" s="7" t="n">
        <f aca="false">Parâmetros!$B$4+Parâmetros!$B$5*F887</f>
        <v>0.0400691642912078</v>
      </c>
      <c r="L887" s="11" t="n">
        <f aca="false">D887*(1+G887)</f>
        <v>6757.72206447714</v>
      </c>
      <c r="M887" s="14" t="n">
        <v>0</v>
      </c>
      <c r="N887" s="4" t="n">
        <v>1</v>
      </c>
      <c r="O887" s="3" t="str">
        <f aca="false">IF(AND(B887=4,M887=1),IF(N887&lt;0.8,"Subgrupo 7 dias; fronteira de cluster","Subgrupo 7 dias"),IF(N887&lt;0.8,"Fronteira de cluster",""))</f>
        <v/>
      </c>
    </row>
    <row r="888" customFormat="false" ht="15" hidden="false" customHeight="false" outlineLevel="0" collapsed="false">
      <c r="A888" s="14" t="n">
        <v>887</v>
      </c>
      <c r="B888" s="14" t="n">
        <v>1</v>
      </c>
      <c r="C888" s="14" t="s">
        <v>30</v>
      </c>
      <c r="D888" s="15" t="n">
        <v>6896.30350194553</v>
      </c>
      <c r="E888" s="16" t="n">
        <f aca="false">INDEX(Parâmetros!$C$33:$C$37,MATCH(B888,Parâmetros!$A$33:$A$37,0))</f>
        <v>6959.92435130262</v>
      </c>
      <c r="F888" s="7" t="n">
        <f aca="false">MAX(0,(E888-D888)/D888)</f>
        <v>0.00922535519777335</v>
      </c>
      <c r="G888" s="7" t="n">
        <f aca="false">MIN(K888*Parâmetros!$B$19,Parâmetros!$B$8)</f>
        <v>0.0272180094436581</v>
      </c>
      <c r="H888" s="3" t="str">
        <f aca="false">IF(F888&gt;=Parâmetros!$B$6,"Ação","Acompanhamento")</f>
        <v>Acompanhamento</v>
      </c>
      <c r="I888" s="17" t="n">
        <v>299.129511677282</v>
      </c>
      <c r="J888" s="11" t="n">
        <f aca="false">D888*I888</f>
        <v>2062887.8989153</v>
      </c>
      <c r="K888" s="7" t="n">
        <f aca="false">Parâmetros!$B$4+Parâmetros!$B$5*F888</f>
        <v>0.0223063387994433</v>
      </c>
      <c r="L888" s="11" t="n">
        <f aca="false">D888*(1+G888)</f>
        <v>7084.00715578781</v>
      </c>
      <c r="M888" s="14" t="n">
        <v>0</v>
      </c>
      <c r="N888" s="4" t="n">
        <v>1</v>
      </c>
      <c r="O888" s="3" t="str">
        <f aca="false">IF(AND(B888=4,M888=1),IF(N888&lt;0.8,"Subgrupo 7 dias; fronteira de cluster","Subgrupo 7 dias"),IF(N888&lt;0.8,"Fronteira de cluster",""))</f>
        <v/>
      </c>
    </row>
    <row r="889" customFormat="false" ht="15" hidden="false" customHeight="false" outlineLevel="0" collapsed="false">
      <c r="A889" s="14" t="n">
        <v>888</v>
      </c>
      <c r="B889" s="14" t="n">
        <v>1</v>
      </c>
      <c r="C889" s="14" t="s">
        <v>30</v>
      </c>
      <c r="D889" s="15" t="n">
        <v>7998.74107142857</v>
      </c>
      <c r="E889" s="16" t="n">
        <f aca="false">INDEX(Parâmetros!$C$33:$C$37,MATCH(B889,Parâmetros!$A$33:$A$37,0))</f>
        <v>6959.92435130262</v>
      </c>
      <c r="F889" s="7" t="n">
        <f aca="false">MAX(0,(E889-D889)/D889)</f>
        <v>0</v>
      </c>
      <c r="G889" s="7" t="n">
        <f aca="false">MIN(K889*Parâmetros!$B$19,Parâmetros!$B$8)</f>
        <v>0.0244038339849275</v>
      </c>
      <c r="H889" s="3" t="str">
        <f aca="false">IF(F889&gt;=Parâmetros!$B$6,"Ação","Acompanhamento")</f>
        <v>Acompanhamento</v>
      </c>
      <c r="I889" s="17" t="n">
        <v>303.779193205945</v>
      </c>
      <c r="J889" s="11" t="n">
        <f aca="false">D889*I889</f>
        <v>2429851.10934183</v>
      </c>
      <c r="K889" s="7" t="n">
        <f aca="false">Parâmetros!$B$4+Parâmetros!$B$5*F889</f>
        <v>0.02</v>
      </c>
      <c r="L889" s="11" t="n">
        <f aca="false">D889*(1+G889)</f>
        <v>8193.94102062414</v>
      </c>
      <c r="M889" s="14" t="n">
        <v>0</v>
      </c>
      <c r="N889" s="4" t="n">
        <v>1</v>
      </c>
      <c r="O889" s="3" t="str">
        <f aca="false">IF(AND(B889=4,M889=1),IF(N889&lt;0.8,"Subgrupo 7 dias; fronteira de cluster","Subgrupo 7 dias"),IF(N889&lt;0.8,"Fronteira de cluster",""))</f>
        <v/>
      </c>
    </row>
    <row r="890" customFormat="false" ht="15" hidden="false" customHeight="false" outlineLevel="0" collapsed="false">
      <c r="A890" s="14" t="n">
        <v>889</v>
      </c>
      <c r="B890" s="14" t="n">
        <v>3</v>
      </c>
      <c r="C890" s="14" t="s">
        <v>32</v>
      </c>
      <c r="D890" s="15" t="n">
        <v>4144.43717948718</v>
      </c>
      <c r="E890" s="16" t="n">
        <f aca="false">INDEX(Parâmetros!$C$33:$C$37,MATCH(B890,Parâmetros!$A$33:$A$37,0))</f>
        <v>5909.24487179487</v>
      </c>
      <c r="F890" s="7" t="n">
        <f aca="false">MAX(0,(E890-D890)/D890)</f>
        <v>0.42582565879936</v>
      </c>
      <c r="G890" s="7" t="n">
        <f aca="false">MIN(K890*Parâmetros!$B$19,Parâmetros!$B$8)</f>
        <v>0.154301067533202</v>
      </c>
      <c r="H890" s="3" t="str">
        <f aca="false">IF(F890&gt;=Parâmetros!$B$6,"Ação","Acompanhamento")</f>
        <v>Ação</v>
      </c>
      <c r="I890" s="17" t="n">
        <v>302.229299363057</v>
      </c>
      <c r="J890" s="11" t="n">
        <f aca="false">D890*I890</f>
        <v>1252570.34501062</v>
      </c>
      <c r="K890" s="7" t="n">
        <f aca="false">Parâmetros!$B$4+Parâmetros!$B$5*F890</f>
        <v>0.12645641469984</v>
      </c>
      <c r="L890" s="11" t="n">
        <f aca="false">D890*(1+G890)</f>
        <v>4783.92826060635</v>
      </c>
      <c r="M890" s="14" t="n">
        <v>0</v>
      </c>
      <c r="N890" s="4" t="n">
        <v>0.98780487804878</v>
      </c>
      <c r="O890" s="3" t="str">
        <f aca="false">IF(AND(B890=4,M890=1),IF(N890&lt;0.8,"Subgrupo 7 dias; fronteira de cluster","Subgrupo 7 dias"),IF(N890&lt;0.8,"Fronteira de cluster",""))</f>
        <v/>
      </c>
    </row>
    <row r="891" customFormat="false" ht="15" hidden="false" customHeight="false" outlineLevel="0" collapsed="false">
      <c r="A891" s="14" t="n">
        <v>890</v>
      </c>
      <c r="B891" s="14" t="n">
        <v>1</v>
      </c>
      <c r="C891" s="14" t="s">
        <v>30</v>
      </c>
      <c r="D891" s="15" t="n">
        <v>5729.58360128617</v>
      </c>
      <c r="E891" s="16" t="n">
        <f aca="false">INDEX(Parâmetros!$C$33:$C$37,MATCH(B891,Parâmetros!$A$33:$A$37,0))</f>
        <v>6959.92435130262</v>
      </c>
      <c r="F891" s="7" t="n">
        <f aca="false">MAX(0,(E891-D891)/D891)</f>
        <v>0.214734758340948</v>
      </c>
      <c r="G891" s="7" t="n">
        <f aca="false">MIN(K891*Parâmetros!$B$19,Parâmetros!$B$8)</f>
        <v>0.0899082264017527</v>
      </c>
      <c r="H891" s="3" t="str">
        <f aca="false">IF(F891&gt;=Parâmetros!$B$6,"Ação","Acompanhamento")</f>
        <v>Ação</v>
      </c>
      <c r="I891" s="17" t="n">
        <v>299.511873350924</v>
      </c>
      <c r="J891" s="11" t="n">
        <f aca="false">D891*I891</f>
        <v>1716078.31794195</v>
      </c>
      <c r="K891" s="7" t="n">
        <f aca="false">Parâmetros!$B$4+Parâmetros!$B$5*F891</f>
        <v>0.0736836895852371</v>
      </c>
      <c r="L891" s="11" t="n">
        <f aca="false">D891*(1+G891)</f>
        <v>6244.72030089838</v>
      </c>
      <c r="M891" s="14" t="n">
        <v>0</v>
      </c>
      <c r="N891" s="4" t="n">
        <v>1</v>
      </c>
      <c r="O891" s="3" t="str">
        <f aca="false">IF(AND(B891=4,M891=1),IF(N891&lt;0.8,"Subgrupo 7 dias; fronteira de cluster","Subgrupo 7 dias"),IF(N891&lt;0.8,"Fronteira de cluster",""))</f>
        <v/>
      </c>
    </row>
    <row r="892" customFormat="false" ht="15" hidden="false" customHeight="false" outlineLevel="0" collapsed="false">
      <c r="A892" s="14" t="n">
        <v>891</v>
      </c>
      <c r="B892" s="14" t="n">
        <v>4</v>
      </c>
      <c r="C892" s="14" t="s">
        <v>33</v>
      </c>
      <c r="D892" s="15" t="n">
        <v>7976.40721649485</v>
      </c>
      <c r="E892" s="16" t="n">
        <f aca="false">INDEX(Parâmetros!$C$33:$C$37,MATCH(B892,Parâmetros!$A$33:$A$37,0))</f>
        <v>8837.10512820513</v>
      </c>
      <c r="F892" s="7" t="n">
        <f aca="false">MAX(0,(E892-D892)/D892)</f>
        <v>0.107905462741471</v>
      </c>
      <c r="G892" s="7" t="n">
        <f aca="false">MIN(K892*Parâmetros!$B$19,Parâmetros!$B$8)</f>
        <v>0.0573201714700478</v>
      </c>
      <c r="H892" s="3" t="str">
        <f aca="false">IF(F892&gt;=Parâmetros!$B$6,"Ação","Acompanhamento")</f>
        <v>Ação</v>
      </c>
      <c r="I892" s="17" t="n">
        <v>300.67940552017</v>
      </c>
      <c r="J892" s="11" t="n">
        <f aca="false">D892*I892</f>
        <v>2398341.38004246</v>
      </c>
      <c r="K892" s="7" t="n">
        <f aca="false">Parâmetros!$B$4+Parâmetros!$B$5*F892</f>
        <v>0.0469763656853677</v>
      </c>
      <c r="L892" s="11" t="n">
        <f aca="false">D892*(1+G892)</f>
        <v>8433.61624585926</v>
      </c>
      <c r="M892" s="14" t="n">
        <v>0</v>
      </c>
      <c r="N892" s="4" t="n">
        <v>0.975308641975309</v>
      </c>
      <c r="O892" s="3" t="str">
        <f aca="false">IF(AND(B892=4,M892=1),IF(N892&lt;0.8,"Subgrupo 7 dias; fronteira de cluster","Subgrupo 7 dias"),IF(N892&lt;0.8,"Fronteira de cluster",""))</f>
        <v/>
      </c>
    </row>
    <row r="893" customFormat="false" ht="15" hidden="false" customHeight="false" outlineLevel="0" collapsed="false">
      <c r="A893" s="14" t="n">
        <v>892</v>
      </c>
      <c r="B893" s="14" t="n">
        <v>3</v>
      </c>
      <c r="C893" s="14" t="s">
        <v>32</v>
      </c>
      <c r="D893" s="15" t="n">
        <v>7599.16282051282</v>
      </c>
      <c r="E893" s="16" t="n">
        <f aca="false">INDEX(Parâmetros!$C$33:$C$37,MATCH(B893,Parâmetros!$A$33:$A$37,0))</f>
        <v>5909.24487179487</v>
      </c>
      <c r="F893" s="7" t="n">
        <f aca="false">MAX(0,(E893-D893)/D893)</f>
        <v>0</v>
      </c>
      <c r="G893" s="7" t="n">
        <f aca="false">MIN(K893*Parâmetros!$B$19,Parâmetros!$B$8)</f>
        <v>0.0244038339849275</v>
      </c>
      <c r="H893" s="3" t="str">
        <f aca="false">IF(F893&gt;=Parâmetros!$B$6,"Ação","Acompanhamento")</f>
        <v>Acompanhamento</v>
      </c>
      <c r="I893" s="17" t="n">
        <v>302.229299363057</v>
      </c>
      <c r="J893" s="11" t="n">
        <f aca="false">D893*I893</f>
        <v>2296689.65498938</v>
      </c>
      <c r="K893" s="7" t="n">
        <f aca="false">Parâmetros!$B$4+Parâmetros!$B$5*F893</f>
        <v>0.02</v>
      </c>
      <c r="L893" s="11" t="n">
        <f aca="false">D893*(1+G893)</f>
        <v>7784.61152840905</v>
      </c>
      <c r="M893" s="14" t="n">
        <v>0</v>
      </c>
      <c r="N893" s="4" t="n">
        <v>1</v>
      </c>
      <c r="O893" s="3" t="str">
        <f aca="false">IF(AND(B893=4,M893=1),IF(N893&lt;0.8,"Subgrupo 7 dias; fronteira de cluster","Subgrupo 7 dias"),IF(N893&lt;0.8,"Fronteira de cluster",""))</f>
        <v/>
      </c>
    </row>
    <row r="894" customFormat="false" ht="15" hidden="false" customHeight="false" outlineLevel="0" collapsed="false">
      <c r="A894" s="14" t="n">
        <v>893</v>
      </c>
      <c r="B894" s="14" t="n">
        <v>4</v>
      </c>
      <c r="C894" s="14" t="s">
        <v>33</v>
      </c>
      <c r="D894" s="15" t="n">
        <v>6396.59003215434</v>
      </c>
      <c r="E894" s="16" t="n">
        <f aca="false">INDEX(Parâmetros!$C$33:$C$37,MATCH(B894,Parâmetros!$A$33:$A$37,0))</f>
        <v>8837.10512820513</v>
      </c>
      <c r="F894" s="7" t="n">
        <f aca="false">MAX(0,(E894-D894)/D894)</f>
        <v>0.381533767801723</v>
      </c>
      <c r="G894" s="7" t="n">
        <f aca="false">MIN(K894*Parâmetros!$B$19,Parâmetros!$B$8)</f>
        <v>0.140789918098391</v>
      </c>
      <c r="H894" s="3" t="str">
        <f aca="false">IF(F894&gt;=Parâmetros!$B$6,"Ação","Acompanhamento")</f>
        <v>Ação</v>
      </c>
      <c r="I894" s="17" t="n">
        <v>299.511873350924</v>
      </c>
      <c r="J894" s="11" t="n">
        <f aca="false">D894*I894</f>
        <v>1915854.66358839</v>
      </c>
      <c r="K894" s="7" t="n">
        <f aca="false">Parâmetros!$B$4+Parâmetros!$B$5*F894</f>
        <v>0.115383441950431</v>
      </c>
      <c r="L894" s="11" t="n">
        <f aca="false">D894*(1+G894)</f>
        <v>7297.16541889034</v>
      </c>
      <c r="M894" s="14" t="n">
        <v>0</v>
      </c>
      <c r="N894" s="4" t="n">
        <v>0.873417721518987</v>
      </c>
      <c r="O894" s="3" t="str">
        <f aca="false">IF(AND(B894=4,M894=1),IF(N894&lt;0.8,"Subgrupo 7 dias; fronteira de cluster","Subgrupo 7 dias"),IF(N894&lt;0.8,"Fronteira de cluster",""))</f>
        <v/>
      </c>
    </row>
    <row r="895" customFormat="false" ht="15" hidden="false" customHeight="false" outlineLevel="0" collapsed="false">
      <c r="A895" s="14" t="n">
        <v>894</v>
      </c>
      <c r="B895" s="14" t="n">
        <v>0</v>
      </c>
      <c r="C895" s="14" t="s">
        <v>29</v>
      </c>
      <c r="D895" s="15" t="n">
        <v>8468.47989623865</v>
      </c>
      <c r="E895" s="16" t="n">
        <f aca="false">INDEX(Parâmetros!$C$33:$C$37,MATCH(B895,Parâmetros!$A$33:$A$37,0))</f>
        <v>5476.37033462034</v>
      </c>
      <c r="F895" s="7" t="n">
        <f aca="false">MAX(0,(E895-D895)/D895)</f>
        <v>0</v>
      </c>
      <c r="G895" s="7" t="n">
        <f aca="false">MIN(K895*Parâmetros!$B$19,Parâmetros!$B$8)</f>
        <v>0.0244038339849275</v>
      </c>
      <c r="H895" s="3" t="str">
        <f aca="false">IF(F895&gt;=Parâmetros!$B$6,"Ação","Acompanhamento")</f>
        <v>Acompanhamento</v>
      </c>
      <c r="I895" s="17" t="n">
        <v>298.742038216561</v>
      </c>
      <c r="J895" s="11" t="n">
        <f aca="false">D895*I895</f>
        <v>2529890.9447983</v>
      </c>
      <c r="K895" s="7" t="n">
        <f aca="false">Parâmetros!$B$4+Parâmetros!$B$5*F895</f>
        <v>0.02</v>
      </c>
      <c r="L895" s="11" t="n">
        <f aca="false">D895*(1+G895)</f>
        <v>8675.14327373116</v>
      </c>
      <c r="M895" s="14" t="n">
        <v>0</v>
      </c>
      <c r="N895" s="4" t="n">
        <v>0.974025974025974</v>
      </c>
      <c r="O895" s="3" t="str">
        <f aca="false">IF(AND(B895=4,M895=1),IF(N895&lt;0.8,"Subgrupo 7 dias; fronteira de cluster","Subgrupo 7 dias"),IF(N895&lt;0.8,"Fronteira de cluster",""))</f>
        <v/>
      </c>
    </row>
    <row r="896" customFormat="false" ht="15" hidden="false" customHeight="false" outlineLevel="0" collapsed="false">
      <c r="A896" s="14" t="n">
        <v>895</v>
      </c>
      <c r="B896" s="14" t="n">
        <v>1</v>
      </c>
      <c r="C896" s="14" t="s">
        <v>30</v>
      </c>
      <c r="D896" s="15" t="n">
        <v>9329.35907335907</v>
      </c>
      <c r="E896" s="16" t="n">
        <f aca="false">INDEX(Parâmetros!$C$33:$C$37,MATCH(B896,Parâmetros!$A$33:$A$37,0))</f>
        <v>6959.92435130262</v>
      </c>
      <c r="F896" s="7" t="n">
        <f aca="false">MAX(0,(E896-D896)/D896)</f>
        <v>0</v>
      </c>
      <c r="G896" s="7" t="n">
        <f aca="false">MIN(K896*Parâmetros!$B$19,Parâmetros!$B$8)</f>
        <v>0.0244038339849275</v>
      </c>
      <c r="H896" s="3" t="str">
        <f aca="false">IF(F896&gt;=Parâmetros!$B$6,"Ação","Acompanhamento")</f>
        <v>Acompanhamento</v>
      </c>
      <c r="I896" s="17" t="n">
        <v>301.066878980892</v>
      </c>
      <c r="J896" s="11" t="n">
        <f aca="false">D896*I896</f>
        <v>2808761.01910828</v>
      </c>
      <c r="K896" s="7" t="n">
        <f aca="false">Parâmetros!$B$4+Parâmetros!$B$5*F896</f>
        <v>0.02</v>
      </c>
      <c r="L896" s="11" t="n">
        <f aca="false">D896*(1+G896)</f>
        <v>9557.03120337111</v>
      </c>
      <c r="M896" s="14" t="n">
        <v>0</v>
      </c>
      <c r="N896" s="4" t="n">
        <v>0.945945945945946</v>
      </c>
      <c r="O896" s="3" t="str">
        <f aca="false">IF(AND(B896=4,M896=1),IF(N896&lt;0.8,"Subgrupo 7 dias; fronteira de cluster","Subgrupo 7 dias"),IF(N896&lt;0.8,"Fronteira de cluster",""))</f>
        <v/>
      </c>
    </row>
    <row r="897" customFormat="false" ht="15" hidden="false" customHeight="false" outlineLevel="0" collapsed="false">
      <c r="A897" s="14" t="n">
        <v>896</v>
      </c>
      <c r="B897" s="14" t="n">
        <v>4</v>
      </c>
      <c r="C897" s="14" t="s">
        <v>33</v>
      </c>
      <c r="D897" s="15" t="n">
        <v>6937.66581632653</v>
      </c>
      <c r="E897" s="16" t="n">
        <f aca="false">INDEX(Parâmetros!$C$33:$C$37,MATCH(B897,Parâmetros!$A$33:$A$37,0))</f>
        <v>8837.10512820513</v>
      </c>
      <c r="F897" s="7" t="n">
        <f aca="false">MAX(0,(E897-D897)/D897)</f>
        <v>0.273786510069224</v>
      </c>
      <c r="G897" s="7" t="n">
        <f aca="false">MIN(K897*Parâmetros!$B$19,Parâmetros!$B$8)</f>
        <v>0.107921840722953</v>
      </c>
      <c r="H897" s="3" t="str">
        <f aca="false">IF(F897&gt;=Parâmetros!$B$6,"Ação","Acompanhamento")</f>
        <v>Ação</v>
      </c>
      <c r="I897" s="17" t="n">
        <v>303.779193205945</v>
      </c>
      <c r="J897" s="11" t="n">
        <f aca="false">D897*I897</f>
        <v>2107518.52441614</v>
      </c>
      <c r="K897" s="7" t="n">
        <f aca="false">Parâmetros!$B$4+Parâmetros!$B$5*F897</f>
        <v>0.0884466275173061</v>
      </c>
      <c r="L897" s="11" t="n">
        <f aca="false">D897*(1+G897)</f>
        <v>7686.3914815452</v>
      </c>
      <c r="M897" s="14" t="n">
        <v>0</v>
      </c>
      <c r="N897" s="4" t="n">
        <v>0.942857142857143</v>
      </c>
      <c r="O897" s="3" t="str">
        <f aca="false">IF(AND(B897=4,M897=1),IF(N897&lt;0.8,"Subgrupo 7 dias; fronteira de cluster","Subgrupo 7 dias"),IF(N897&lt;0.8,"Fronteira de cluster",""))</f>
        <v/>
      </c>
    </row>
    <row r="898" customFormat="false" ht="15" hidden="false" customHeight="false" outlineLevel="0" collapsed="false">
      <c r="A898" s="14" t="n">
        <v>897</v>
      </c>
      <c r="B898" s="14" t="n">
        <v>2</v>
      </c>
      <c r="C898" s="14" t="s">
        <v>31</v>
      </c>
      <c r="D898" s="15" t="n">
        <v>3492.94473007712</v>
      </c>
      <c r="E898" s="16" t="n">
        <f aca="false">INDEX(Parâmetros!$C$33:$C$37,MATCH(B898,Parâmetros!$A$33:$A$37,0))</f>
        <v>6324.80102695764</v>
      </c>
      <c r="F898" s="7" t="n">
        <f aca="false">MAX(0,(E898-D898)/D898)</f>
        <v>0.810736073919495</v>
      </c>
      <c r="G898" s="7" t="n">
        <f aca="false">MIN(K898*Parâmetros!$B$19,Parâmetros!$B$8)</f>
        <v>0.2</v>
      </c>
      <c r="H898" s="3" t="str">
        <f aca="false">IF(F898&gt;=Parâmetros!$B$6,"Ação","Acompanhamento")</f>
        <v>Ação</v>
      </c>
      <c r="I898" s="17" t="n">
        <v>301.454352441614</v>
      </c>
      <c r="J898" s="11" t="n">
        <f aca="false">D898*I898</f>
        <v>1052963.39171975</v>
      </c>
      <c r="K898" s="7" t="n">
        <f aca="false">Parâmetros!$B$4+Parâmetros!$B$5*F898</f>
        <v>0.222684018479874</v>
      </c>
      <c r="L898" s="11" t="n">
        <f aca="false">D898*(1+G898)</f>
        <v>4191.53367609255</v>
      </c>
      <c r="M898" s="14" t="n">
        <v>0</v>
      </c>
      <c r="N898" s="4" t="n">
        <v>0.962025316455696</v>
      </c>
      <c r="O898" s="3" t="str">
        <f aca="false">IF(AND(B898=4,M898=1),IF(N898&lt;0.8,"Subgrupo 7 dias; fronteira de cluster","Subgrupo 7 dias"),IF(N898&lt;0.8,"Fronteira de cluster",""))</f>
        <v/>
      </c>
    </row>
    <row r="899" customFormat="false" ht="15" hidden="false" customHeight="false" outlineLevel="0" collapsed="false">
      <c r="A899" s="14" t="n">
        <v>898</v>
      </c>
      <c r="B899" s="14" t="n">
        <v>3</v>
      </c>
      <c r="C899" s="14" t="s">
        <v>32</v>
      </c>
      <c r="D899" s="15" t="n">
        <v>6615.4347826087</v>
      </c>
      <c r="E899" s="16" t="n">
        <f aca="false">INDEX(Parâmetros!$C$33:$C$37,MATCH(B899,Parâmetros!$A$33:$A$37,0))</f>
        <v>5909.24487179487</v>
      </c>
      <c r="F899" s="7" t="n">
        <f aca="false">MAX(0,(E899-D899)/D899)</f>
        <v>0</v>
      </c>
      <c r="G899" s="7" t="n">
        <f aca="false">MIN(K899*Parâmetros!$B$19,Parâmetros!$B$8)</f>
        <v>0.0244038339849275</v>
      </c>
      <c r="H899" s="3" t="str">
        <f aca="false">IF(F899&gt;=Parâmetros!$B$6,"Ação","Acompanhamento")</f>
        <v>Acompanhamento</v>
      </c>
      <c r="I899" s="17" t="n">
        <v>303.004246284501</v>
      </c>
      <c r="J899" s="11" t="n">
        <f aca="false">D899*I899</f>
        <v>2004504.83014862</v>
      </c>
      <c r="K899" s="7" t="n">
        <f aca="false">Parâmetros!$B$4+Parâmetros!$B$5*F899</f>
        <v>0.02</v>
      </c>
      <c r="L899" s="11" t="n">
        <f aca="false">D899*(1+G899)</f>
        <v>6776.87675478159</v>
      </c>
      <c r="M899" s="14" t="n">
        <v>0</v>
      </c>
      <c r="N899" s="4" t="n">
        <v>1</v>
      </c>
      <c r="O899" s="3" t="str">
        <f aca="false">IF(AND(B899=4,M899=1),IF(N899&lt;0.8,"Subgrupo 7 dias; fronteira de cluster","Subgrupo 7 dias"),IF(N899&lt;0.8,"Fronteira de cluster",""))</f>
        <v/>
      </c>
    </row>
    <row r="900" customFormat="false" ht="15" hidden="false" customHeight="false" outlineLevel="0" collapsed="false">
      <c r="A900" s="14" t="n">
        <v>899</v>
      </c>
      <c r="B900" s="14" t="n">
        <v>3</v>
      </c>
      <c r="C900" s="14" t="s">
        <v>32</v>
      </c>
      <c r="D900" s="15" t="n">
        <v>5268.31538461539</v>
      </c>
      <c r="E900" s="16" t="n">
        <f aca="false">INDEX(Parâmetros!$C$33:$C$37,MATCH(B900,Parâmetros!$A$33:$A$37,0))</f>
        <v>5909.24487179487</v>
      </c>
      <c r="F900" s="7" t="n">
        <f aca="false">MAX(0,(E900-D900)/D900)</f>
        <v>0.121657387682434</v>
      </c>
      <c r="G900" s="7" t="n">
        <f aca="false">MIN(K900*Parâmetros!$B$19,Parâmetros!$B$8)</f>
        <v>0.0615151676354535</v>
      </c>
      <c r="H900" s="3" t="str">
        <f aca="false">IF(F900&gt;=Parâmetros!$B$6,"Ação","Acompanhamento")</f>
        <v>Ação</v>
      </c>
      <c r="I900" s="17" t="n">
        <v>302.229299363057</v>
      </c>
      <c r="J900" s="11" t="n">
        <f aca="false">D900*I900</f>
        <v>1592239.26751592</v>
      </c>
      <c r="K900" s="7" t="n">
        <f aca="false">Parâmetros!$B$4+Parâmetros!$B$5*F900</f>
        <v>0.0504143469206086</v>
      </c>
      <c r="L900" s="11" t="n">
        <f aca="false">D900*(1+G900)</f>
        <v>5592.39668865644</v>
      </c>
      <c r="M900" s="14" t="n">
        <v>0</v>
      </c>
      <c r="N900" s="4" t="n">
        <v>1</v>
      </c>
      <c r="O900" s="3" t="str">
        <f aca="false">IF(AND(B900=4,M900=1),IF(N900&lt;0.8,"Subgrupo 7 dias; fronteira de cluster","Subgrupo 7 dias"),IF(N900&lt;0.8,"Fronteira de cluster",""))</f>
        <v/>
      </c>
    </row>
    <row r="901" customFormat="false" ht="15" hidden="false" customHeight="false" outlineLevel="0" collapsed="false">
      <c r="A901" s="14" t="n">
        <v>900</v>
      </c>
      <c r="B901" s="14" t="n">
        <v>1</v>
      </c>
      <c r="C901" s="14" t="s">
        <v>30</v>
      </c>
      <c r="D901" s="15" t="n">
        <v>5844.51286173633</v>
      </c>
      <c r="E901" s="16" t="n">
        <f aca="false">INDEX(Parâmetros!$C$33:$C$37,MATCH(B901,Parâmetros!$A$33:$A$37,0))</f>
        <v>6959.92435130262</v>
      </c>
      <c r="F901" s="7" t="n">
        <f aca="false">MAX(0,(E901-D901)/D901)</f>
        <v>0.190847640505476</v>
      </c>
      <c r="G901" s="7" t="n">
        <f aca="false">MIN(K901*Parâmetros!$B$19,Parâmetros!$B$8)</f>
        <v>0.0826215106763119</v>
      </c>
      <c r="H901" s="3" t="str">
        <f aca="false">IF(F901&gt;=Parâmetros!$B$6,"Ação","Acompanhamento")</f>
        <v>Ação</v>
      </c>
      <c r="I901" s="17" t="n">
        <v>299.511873350924</v>
      </c>
      <c r="J901" s="11" t="n">
        <f aca="false">D901*I901</f>
        <v>1750500.99604222</v>
      </c>
      <c r="K901" s="7" t="n">
        <f aca="false">Parâmetros!$B$4+Parâmetros!$B$5*F901</f>
        <v>0.067711910126369</v>
      </c>
      <c r="L901" s="11" t="n">
        <f aca="false">D901*(1+G901)</f>
        <v>6327.39534354013</v>
      </c>
      <c r="M901" s="14" t="n">
        <v>0</v>
      </c>
      <c r="N901" s="4" t="n">
        <v>1</v>
      </c>
      <c r="O901" s="3" t="str">
        <f aca="false">IF(AND(B901=4,M901=1),IF(N901&lt;0.8,"Subgrupo 7 dias; fronteira de cluster","Subgrupo 7 dias"),IF(N901&lt;0.8,"Fronteira de cluster",""))</f>
        <v/>
      </c>
    </row>
    <row r="902" customFormat="false" ht="15" hidden="false" customHeight="false" outlineLevel="0" collapsed="false">
      <c r="A902" s="14" t="n">
        <v>901</v>
      </c>
      <c r="B902" s="14" t="n">
        <v>1</v>
      </c>
      <c r="C902" s="14" t="s">
        <v>30</v>
      </c>
      <c r="D902" s="15" t="n">
        <v>7231.04209183673</v>
      </c>
      <c r="E902" s="16" t="n">
        <f aca="false">INDEX(Parâmetros!$C$33:$C$37,MATCH(B902,Parâmetros!$A$33:$A$37,0))</f>
        <v>6959.92435130262</v>
      </c>
      <c r="F902" s="7" t="n">
        <f aca="false">MAX(0,(E902-D902)/D902)</f>
        <v>0</v>
      </c>
      <c r="G902" s="7" t="n">
        <f aca="false">MIN(K902*Parâmetros!$B$19,Parâmetros!$B$8)</f>
        <v>0.0244038339849275</v>
      </c>
      <c r="H902" s="3" t="str">
        <f aca="false">IF(F902&gt;=Parâmetros!$B$6,"Ação","Acompanhamento")</f>
        <v>Acompanhamento</v>
      </c>
      <c r="I902" s="17" t="n">
        <v>303.779193205945</v>
      </c>
      <c r="J902" s="11" t="n">
        <f aca="false">D902*I902</f>
        <v>2196640.13269639</v>
      </c>
      <c r="K902" s="7" t="n">
        <f aca="false">Parâmetros!$B$4+Parâmetros!$B$5*F902</f>
        <v>0.02</v>
      </c>
      <c r="L902" s="11" t="n">
        <f aca="false">D902*(1+G902)</f>
        <v>7407.50724258394</v>
      </c>
      <c r="M902" s="14" t="n">
        <v>0</v>
      </c>
      <c r="N902" s="4" t="n">
        <v>1</v>
      </c>
      <c r="O902" s="3" t="str">
        <f aca="false">IF(AND(B902=4,M902=1),IF(N902&lt;0.8,"Subgrupo 7 dias; fronteira de cluster","Subgrupo 7 dias"),IF(N902&lt;0.8,"Fronteira de cluster",""))</f>
        <v/>
      </c>
    </row>
    <row r="903" customFormat="false" ht="15" hidden="false" customHeight="false" outlineLevel="0" collapsed="false">
      <c r="A903" s="14" t="n">
        <v>902</v>
      </c>
      <c r="B903" s="14" t="n">
        <v>4</v>
      </c>
      <c r="C903" s="14" t="s">
        <v>33</v>
      </c>
      <c r="D903" s="15" t="n">
        <v>4886.47106109325</v>
      </c>
      <c r="E903" s="16" t="n">
        <f aca="false">INDEX(Parâmetros!$C$33:$C$37,MATCH(B903,Parâmetros!$A$33:$A$37,0))</f>
        <v>8837.10512820513</v>
      </c>
      <c r="F903" s="7" t="n">
        <f aca="false">MAX(0,(E903-D903)/D903)</f>
        <v>0.808484081399227</v>
      </c>
      <c r="G903" s="7" t="n">
        <f aca="false">MIN(K903*Parâmetros!$B$19,Parâmetros!$B$8)</f>
        <v>0.2</v>
      </c>
      <c r="H903" s="3" t="str">
        <f aca="false">IF(F903&gt;=Parâmetros!$B$6,"Ação","Acompanhamento")</f>
        <v>Ação</v>
      </c>
      <c r="I903" s="17" t="n">
        <v>299.511873350924</v>
      </c>
      <c r="J903" s="11" t="n">
        <f aca="false">D903*I903</f>
        <v>1463556.10158311</v>
      </c>
      <c r="K903" s="7" t="n">
        <f aca="false">Parâmetros!$B$4+Parâmetros!$B$5*F903</f>
        <v>0.222121020349807</v>
      </c>
      <c r="L903" s="11" t="n">
        <f aca="false">D903*(1+G903)</f>
        <v>5863.7652733119</v>
      </c>
      <c r="M903" s="14" t="n">
        <v>0</v>
      </c>
      <c r="N903" s="4" t="n">
        <v>0.988372093023256</v>
      </c>
      <c r="O903" s="3" t="str">
        <f aca="false">IF(AND(B903=4,M903=1),IF(N903&lt;0.8,"Subgrupo 7 dias; fronteira de cluster","Subgrupo 7 dias"),IF(N903&lt;0.8,"Fronteira de cluster",""))</f>
        <v/>
      </c>
    </row>
    <row r="904" customFormat="false" ht="15" hidden="false" customHeight="false" outlineLevel="0" collapsed="false">
      <c r="A904" s="14" t="n">
        <v>903</v>
      </c>
      <c r="B904" s="14" t="n">
        <v>1</v>
      </c>
      <c r="C904" s="14" t="s">
        <v>30</v>
      </c>
      <c r="D904" s="15" t="n">
        <v>11737.7459807074</v>
      </c>
      <c r="E904" s="16" t="n">
        <f aca="false">INDEX(Parâmetros!$C$33:$C$37,MATCH(B904,Parâmetros!$A$33:$A$37,0))</f>
        <v>6959.92435130262</v>
      </c>
      <c r="F904" s="7" t="n">
        <f aca="false">MAX(0,(E904-D904)/D904)</f>
        <v>0</v>
      </c>
      <c r="G904" s="7" t="n">
        <f aca="false">MIN(K904*Parâmetros!$B$19,Parâmetros!$B$8)</f>
        <v>0.0244038339849275</v>
      </c>
      <c r="H904" s="3" t="str">
        <f aca="false">IF(F904&gt;=Parâmetros!$B$6,"Ação","Acompanhamento")</f>
        <v>Acompanhamento</v>
      </c>
      <c r="I904" s="17" t="n">
        <v>299.511873350924</v>
      </c>
      <c r="J904" s="11" t="n">
        <f aca="false">D904*I904</f>
        <v>3515594.28759895</v>
      </c>
      <c r="K904" s="7" t="n">
        <f aca="false">Parâmetros!$B$4+Parâmetros!$B$5*F904</f>
        <v>0.02</v>
      </c>
      <c r="L904" s="11" t="n">
        <f aca="false">D904*(1+G904)</f>
        <v>12024.1919849778</v>
      </c>
      <c r="M904" s="14" t="n">
        <v>0</v>
      </c>
      <c r="N904" s="4" t="n">
        <v>1</v>
      </c>
      <c r="O904" s="3" t="str">
        <f aca="false">IF(AND(B904=4,M904=1),IF(N904&lt;0.8,"Subgrupo 7 dias; fronteira de cluster","Subgrupo 7 dias"),IF(N904&lt;0.8,"Fronteira de cluster",""))</f>
        <v/>
      </c>
    </row>
    <row r="905" customFormat="false" ht="15" hidden="false" customHeight="false" outlineLevel="0" collapsed="false">
      <c r="A905" s="14" t="n">
        <v>904</v>
      </c>
      <c r="B905" s="14" t="n">
        <v>1</v>
      </c>
      <c r="C905" s="14" t="s">
        <v>30</v>
      </c>
      <c r="D905" s="15" t="n">
        <v>6016.75723472669</v>
      </c>
      <c r="E905" s="16" t="n">
        <f aca="false">INDEX(Parâmetros!$C$33:$C$37,MATCH(B905,Parâmetros!$A$33:$A$37,0))</f>
        <v>6959.92435130262</v>
      </c>
      <c r="F905" s="7" t="n">
        <f aca="false">MAX(0,(E905-D905)/D905)</f>
        <v>0.156756717909822</v>
      </c>
      <c r="G905" s="7" t="n">
        <f aca="false">MIN(K905*Parâmetros!$B$19,Parâmetros!$B$8)</f>
        <v>0.072222145483595</v>
      </c>
      <c r="H905" s="3" t="str">
        <f aca="false">IF(F905&gt;=Parâmetros!$B$6,"Ação","Acompanhamento")</f>
        <v>Ação</v>
      </c>
      <c r="I905" s="17" t="n">
        <v>299.511873350924</v>
      </c>
      <c r="J905" s="11" t="n">
        <f aca="false">D905*I905</f>
        <v>1802090.23087071</v>
      </c>
      <c r="K905" s="7" t="n">
        <f aca="false">Parâmetros!$B$4+Parâmetros!$B$5*F905</f>
        <v>0.0591891794774556</v>
      </c>
      <c r="L905" s="11" t="n">
        <f aca="false">D905*(1+G905)</f>
        <v>6451.30035107259</v>
      </c>
      <c r="M905" s="14" t="n">
        <v>0</v>
      </c>
      <c r="N905" s="4" t="n">
        <v>1</v>
      </c>
      <c r="O905" s="3" t="str">
        <f aca="false">IF(AND(B905=4,M905=1),IF(N905&lt;0.8,"Subgrupo 7 dias; fronteira de cluster","Subgrupo 7 dias"),IF(N905&lt;0.8,"Fronteira de cluster",""))</f>
        <v/>
      </c>
    </row>
    <row r="906" customFormat="false" ht="15" hidden="false" customHeight="false" outlineLevel="0" collapsed="false">
      <c r="A906" s="14" t="n">
        <v>905</v>
      </c>
      <c r="B906" s="14" t="n">
        <v>0</v>
      </c>
      <c r="C906" s="14" t="s">
        <v>29</v>
      </c>
      <c r="D906" s="15" t="n">
        <v>8530.25160462131</v>
      </c>
      <c r="E906" s="16" t="n">
        <f aca="false">INDEX(Parâmetros!$C$33:$C$37,MATCH(B906,Parâmetros!$A$33:$A$37,0))</f>
        <v>5476.37033462034</v>
      </c>
      <c r="F906" s="7" t="n">
        <f aca="false">MAX(0,(E906-D906)/D906)</f>
        <v>0</v>
      </c>
      <c r="G906" s="7" t="n">
        <f aca="false">MIN(K906*Parâmetros!$B$19,Parâmetros!$B$8)</f>
        <v>0.0244038339849275</v>
      </c>
      <c r="H906" s="3" t="str">
        <f aca="false">IF(F906&gt;=Parâmetros!$B$6,"Ação","Acompanhamento")</f>
        <v>Acompanhamento</v>
      </c>
      <c r="I906" s="17" t="n">
        <v>301.841825902336</v>
      </c>
      <c r="J906" s="11" t="n">
        <f aca="false">D906*I906</f>
        <v>2574786.71974522</v>
      </c>
      <c r="K906" s="7" t="n">
        <f aca="false">Parâmetros!$B$4+Parâmetros!$B$5*F906</f>
        <v>0.02</v>
      </c>
      <c r="L906" s="11" t="n">
        <f aca="false">D906*(1+G906)</f>
        <v>8738.42244863015</v>
      </c>
      <c r="M906" s="14" t="n">
        <v>0</v>
      </c>
      <c r="N906" s="4" t="n">
        <v>0.752941176470588</v>
      </c>
      <c r="O906" s="3" t="str">
        <f aca="false">IF(AND(B906=4,M906=1),IF(N906&lt;0.8,"Subgrupo 7 dias; fronteira de cluster","Subgrupo 7 dias"),IF(N906&lt;0.8,"Fronteira de cluster",""))</f>
        <v>Fronteira de cluster</v>
      </c>
    </row>
    <row r="907" customFormat="false" ht="15" hidden="false" customHeight="false" outlineLevel="0" collapsed="false">
      <c r="A907" s="14" t="n">
        <v>906</v>
      </c>
      <c r="B907" s="14" t="n">
        <v>4</v>
      </c>
      <c r="C907" s="14" t="s">
        <v>33</v>
      </c>
      <c r="D907" s="15" t="n">
        <v>10929.2893725992</v>
      </c>
      <c r="E907" s="16" t="n">
        <f aca="false">INDEX(Parâmetros!$C$33:$C$37,MATCH(B907,Parâmetros!$A$33:$A$37,0))</f>
        <v>8837.10512820513</v>
      </c>
      <c r="F907" s="7" t="n">
        <f aca="false">MAX(0,(E907-D907)/D907)</f>
        <v>0</v>
      </c>
      <c r="G907" s="7" t="n">
        <f aca="false">MIN(K907*Parâmetros!$B$19,Parâmetros!$B$8)</f>
        <v>0.0244038339849275</v>
      </c>
      <c r="H907" s="3" t="str">
        <f aca="false">IF(F907&gt;=Parâmetros!$B$6,"Ação","Acompanhamento")</f>
        <v>Acompanhamento</v>
      </c>
      <c r="I907" s="17" t="n">
        <v>302.616772823779</v>
      </c>
      <c r="J907" s="11" t="n">
        <f aca="false">D907*I907</f>
        <v>3307386.27919321</v>
      </c>
      <c r="K907" s="7" t="n">
        <f aca="false">Parâmetros!$B$4+Parâmetros!$B$5*F907</f>
        <v>0.02</v>
      </c>
      <c r="L907" s="11" t="n">
        <f aca="false">D907*(1+G907)</f>
        <v>11196.0059360214</v>
      </c>
      <c r="M907" s="14" t="n">
        <v>0</v>
      </c>
      <c r="N907" s="4" t="n">
        <v>1</v>
      </c>
      <c r="O907" s="3" t="str">
        <f aca="false">IF(AND(B907=4,M907=1),IF(N907&lt;0.8,"Subgrupo 7 dias; fronteira de cluster","Subgrupo 7 dias"),IF(N907&lt;0.8,"Fronteira de cluster",""))</f>
        <v/>
      </c>
    </row>
    <row r="908" customFormat="false" ht="15" hidden="false" customHeight="false" outlineLevel="0" collapsed="false">
      <c r="A908" s="14" t="n">
        <v>907</v>
      </c>
      <c r="B908" s="14" t="n">
        <v>4</v>
      </c>
      <c r="C908" s="14" t="s">
        <v>33</v>
      </c>
      <c r="D908" s="15" t="n">
        <v>6270.74967907574</v>
      </c>
      <c r="E908" s="16" t="n">
        <f aca="false">INDEX(Parâmetros!$C$33:$C$37,MATCH(B908,Parâmetros!$A$33:$A$37,0))</f>
        <v>8837.10512820513</v>
      </c>
      <c r="F908" s="7" t="n">
        <f aca="false">MAX(0,(E908-D908)/D908)</f>
        <v>0.409258155797993</v>
      </c>
      <c r="G908" s="7" t="n">
        <f aca="false">MIN(K908*Parâmetros!$B$19,Parâmetros!$B$8)</f>
        <v>0.149247185123325</v>
      </c>
      <c r="H908" s="3" t="str">
        <f aca="false">IF(F908&gt;=Parâmetros!$B$6,"Ação","Acompanhamento")</f>
        <v>Ação</v>
      </c>
      <c r="I908" s="17" t="n">
        <v>301.841825902336</v>
      </c>
      <c r="J908" s="11" t="n">
        <f aca="false">D908*I908</f>
        <v>1892774.5329087</v>
      </c>
      <c r="K908" s="7" t="n">
        <f aca="false">Parâmetros!$B$4+Parâmetros!$B$5*F908</f>
        <v>0.122314538949498</v>
      </c>
      <c r="L908" s="11" t="n">
        <f aca="false">D908*(1+G908)</f>
        <v>7206.64141729078</v>
      </c>
      <c r="M908" s="14" t="n">
        <v>0</v>
      </c>
      <c r="N908" s="4" t="n">
        <v>0.905405405405405</v>
      </c>
      <c r="O908" s="3" t="str">
        <f aca="false">IF(AND(B908=4,M908=1),IF(N908&lt;0.8,"Subgrupo 7 dias; fronteira de cluster","Subgrupo 7 dias"),IF(N908&lt;0.8,"Fronteira de cluster",""))</f>
        <v/>
      </c>
    </row>
    <row r="909" customFormat="false" ht="15" hidden="false" customHeight="false" outlineLevel="0" collapsed="false">
      <c r="A909" s="14" t="n">
        <v>908</v>
      </c>
      <c r="B909" s="14" t="n">
        <v>3</v>
      </c>
      <c r="C909" s="14" t="s">
        <v>32</v>
      </c>
      <c r="D909" s="15" t="n">
        <v>4234.8271446863</v>
      </c>
      <c r="E909" s="16" t="n">
        <f aca="false">INDEX(Parâmetros!$C$33:$C$37,MATCH(B909,Parâmetros!$A$33:$A$37,0))</f>
        <v>5909.24487179487</v>
      </c>
      <c r="F909" s="7" t="n">
        <f aca="false">MAX(0,(E909-D909)/D909)</f>
        <v>0.395392224971819</v>
      </c>
      <c r="G909" s="7" t="n">
        <f aca="false">MIN(K909*Parâmetros!$B$19,Parâmetros!$B$8)</f>
        <v>0.145017411699219</v>
      </c>
      <c r="H909" s="3" t="str">
        <f aca="false">IF(F909&gt;=Parâmetros!$B$6,"Ação","Acompanhamento")</f>
        <v>Ação</v>
      </c>
      <c r="I909" s="17" t="n">
        <v>302.616772823779</v>
      </c>
      <c r="J909" s="11" t="n">
        <f aca="false">D909*I909</f>
        <v>1281529.72399151</v>
      </c>
      <c r="K909" s="7" t="n">
        <f aca="false">Parâmetros!$B$4+Parâmetros!$B$5*F909</f>
        <v>0.118848056242955</v>
      </c>
      <c r="L909" s="11" t="n">
        <f aca="false">D909*(1+G909)</f>
        <v>4848.9508162023</v>
      </c>
      <c r="M909" s="14" t="n">
        <v>0</v>
      </c>
      <c r="N909" s="4" t="n">
        <v>0.988095238095238</v>
      </c>
      <c r="O909" s="3" t="str">
        <f aca="false">IF(AND(B909=4,M909=1),IF(N909&lt;0.8,"Subgrupo 7 dias; fronteira de cluster","Subgrupo 7 dias"),IF(N909&lt;0.8,"Fronteira de cluster",""))</f>
        <v/>
      </c>
    </row>
    <row r="910" customFormat="false" ht="15" hidden="false" customHeight="false" outlineLevel="0" collapsed="false">
      <c r="A910" s="14" t="n">
        <v>909</v>
      </c>
      <c r="B910" s="14" t="n">
        <v>1</v>
      </c>
      <c r="C910" s="14" t="s">
        <v>30</v>
      </c>
      <c r="D910" s="15" t="n">
        <v>10728.9835255354</v>
      </c>
      <c r="E910" s="16" t="n">
        <f aca="false">INDEX(Parâmetros!$C$33:$C$37,MATCH(B910,Parâmetros!$A$33:$A$37,0))</f>
        <v>6959.92435130262</v>
      </c>
      <c r="F910" s="7" t="n">
        <f aca="false">MAX(0,(E910-D910)/D910)</f>
        <v>0</v>
      </c>
      <c r="G910" s="7" t="n">
        <f aca="false">MIN(K910*Parâmetros!$B$19,Parâmetros!$B$8)</f>
        <v>0.0244038339849275</v>
      </c>
      <c r="H910" s="3" t="str">
        <f aca="false">IF(F910&gt;=Parâmetros!$B$6,"Ação","Acompanhamento")</f>
        <v>Acompanhamento</v>
      </c>
      <c r="I910" s="17" t="n">
        <v>292.288918205805</v>
      </c>
      <c r="J910" s="11" t="n">
        <f aca="false">D910*I910</f>
        <v>3135962.98812665</v>
      </c>
      <c r="K910" s="7" t="n">
        <f aca="false">Parâmetros!$B$4+Parâmetros!$B$5*F910</f>
        <v>0.02</v>
      </c>
      <c r="L910" s="11" t="n">
        <f aca="false">D910*(1+G910)</f>
        <v>10990.8118583196</v>
      </c>
      <c r="M910" s="14" t="n">
        <v>0</v>
      </c>
      <c r="N910" s="4" t="n">
        <v>1</v>
      </c>
      <c r="O910" s="3" t="str">
        <f aca="false">IF(AND(B910=4,M910=1),IF(N910&lt;0.8,"Subgrupo 7 dias; fronteira de cluster","Subgrupo 7 dias"),IF(N910&lt;0.8,"Fronteira de cluster",""))</f>
        <v/>
      </c>
    </row>
    <row r="911" customFormat="false" ht="15" hidden="false" customHeight="false" outlineLevel="0" collapsed="false">
      <c r="A911" s="14" t="n">
        <v>910</v>
      </c>
      <c r="B911" s="14" t="n">
        <v>1</v>
      </c>
      <c r="C911" s="14" t="s">
        <v>30</v>
      </c>
      <c r="D911" s="15" t="n">
        <v>5708.80641025641</v>
      </c>
      <c r="E911" s="16" t="n">
        <f aca="false">INDEX(Parâmetros!$C$33:$C$37,MATCH(B911,Parâmetros!$A$33:$A$37,0))</f>
        <v>6959.92435130262</v>
      </c>
      <c r="F911" s="7" t="n">
        <f aca="false">MAX(0,(E911-D911)/D911)</f>
        <v>0.219155783387305</v>
      </c>
      <c r="G911" s="7" t="n">
        <f aca="false">MIN(K911*Parâmetros!$B$19,Parâmetros!$B$8)</f>
        <v>0.0912568509176838</v>
      </c>
      <c r="H911" s="3" t="str">
        <f aca="false">IF(F911&gt;=Parâmetros!$B$6,"Ação","Acompanhamento")</f>
        <v>Ação</v>
      </c>
      <c r="I911" s="17" t="n">
        <v>302.229299363057</v>
      </c>
      <c r="J911" s="11" t="n">
        <f aca="false">D911*I911</f>
        <v>1725368.56157113</v>
      </c>
      <c r="K911" s="7" t="n">
        <f aca="false">Parâmetros!$B$4+Parâmetros!$B$5*F911</f>
        <v>0.0747889458468262</v>
      </c>
      <c r="L911" s="11" t="n">
        <f aca="false">D911*(1+G911)</f>
        <v>6229.7741057551</v>
      </c>
      <c r="M911" s="14" t="n">
        <v>0</v>
      </c>
      <c r="N911" s="4" t="n">
        <v>0.827160493827161</v>
      </c>
      <c r="O911" s="3" t="str">
        <f aca="false">IF(AND(B911=4,M911=1),IF(N911&lt;0.8,"Subgrupo 7 dias; fronteira de cluster","Subgrupo 7 dias"),IF(N911&lt;0.8,"Fronteira de cluster",""))</f>
        <v/>
      </c>
    </row>
    <row r="912" customFormat="false" ht="15" hidden="false" customHeight="false" outlineLevel="0" collapsed="false">
      <c r="A912" s="14" t="n">
        <v>911</v>
      </c>
      <c r="B912" s="14" t="n">
        <v>1</v>
      </c>
      <c r="C912" s="14" t="s">
        <v>30</v>
      </c>
      <c r="D912" s="15" t="n">
        <v>9884.90816326531</v>
      </c>
      <c r="E912" s="16" t="n">
        <f aca="false">INDEX(Parâmetros!$C$33:$C$37,MATCH(B912,Parâmetros!$A$33:$A$37,0))</f>
        <v>6959.92435130262</v>
      </c>
      <c r="F912" s="7" t="n">
        <f aca="false">MAX(0,(E912-D912)/D912)</f>
        <v>0</v>
      </c>
      <c r="G912" s="7" t="n">
        <f aca="false">MIN(K912*Parâmetros!$B$19,Parâmetros!$B$8)</f>
        <v>0.0244038339849275</v>
      </c>
      <c r="H912" s="3" t="str">
        <f aca="false">IF(F912&gt;=Parâmetros!$B$6,"Ação","Acompanhamento")</f>
        <v>Acompanhamento</v>
      </c>
      <c r="I912" s="17" t="n">
        <v>303.779193205945</v>
      </c>
      <c r="J912" s="11" t="n">
        <f aca="false">D912*I912</f>
        <v>3002829.42675159</v>
      </c>
      <c r="K912" s="7" t="n">
        <f aca="false">Parâmetros!$B$4+Parâmetros!$B$5*F912</f>
        <v>0.02</v>
      </c>
      <c r="L912" s="11" t="n">
        <f aca="false">D912*(1+G912)</f>
        <v>10126.1378210379</v>
      </c>
      <c r="M912" s="14" t="n">
        <v>0</v>
      </c>
      <c r="N912" s="4" t="n">
        <v>1</v>
      </c>
      <c r="O912" s="3" t="str">
        <f aca="false">IF(AND(B912=4,M912=1),IF(N912&lt;0.8,"Subgrupo 7 dias; fronteira de cluster","Subgrupo 7 dias"),IF(N912&lt;0.8,"Fronteira de cluster",""))</f>
        <v/>
      </c>
    </row>
    <row r="913" customFormat="false" ht="15" hidden="false" customHeight="false" outlineLevel="0" collapsed="false">
      <c r="A913" s="14" t="n">
        <v>912</v>
      </c>
      <c r="B913" s="14" t="n">
        <v>2</v>
      </c>
      <c r="C913" s="14" t="s">
        <v>31</v>
      </c>
      <c r="D913" s="15" t="n">
        <v>5765.97959183674</v>
      </c>
      <c r="E913" s="16" t="n">
        <f aca="false">INDEX(Parâmetros!$C$33:$C$37,MATCH(B913,Parâmetros!$A$33:$A$37,0))</f>
        <v>6324.80102695764</v>
      </c>
      <c r="F913" s="7" t="n">
        <f aca="false">MAX(0,(E913-D913)/D913)</f>
        <v>0.0969169984423916</v>
      </c>
      <c r="G913" s="7" t="n">
        <f aca="false">MIN(K913*Parâmetros!$B$19,Parâmetros!$B$8)</f>
        <v>0.0539681632387474</v>
      </c>
      <c r="H913" s="3" t="str">
        <f aca="false">IF(F913&gt;=Parâmetros!$B$6,"Ação","Acompanhamento")</f>
        <v>Acompanhamento</v>
      </c>
      <c r="I913" s="17" t="n">
        <v>303.779193205945</v>
      </c>
      <c r="J913" s="11" t="n">
        <f aca="false">D913*I913</f>
        <v>1751584.62845011</v>
      </c>
      <c r="K913" s="7" t="n">
        <f aca="false">Parâmetros!$B$4+Parâmetros!$B$5*F913</f>
        <v>0.0442292496105979</v>
      </c>
      <c r="L913" s="11" t="n">
        <f aca="false">D913*(1+G913)</f>
        <v>6077.15891968027</v>
      </c>
      <c r="M913" s="14" t="n">
        <v>0</v>
      </c>
      <c r="N913" s="4" t="n">
        <v>1</v>
      </c>
      <c r="O913" s="3" t="str">
        <f aca="false">IF(AND(B913=4,M913=1),IF(N913&lt;0.8,"Subgrupo 7 dias; fronteira de cluster","Subgrupo 7 dias"),IF(N913&lt;0.8,"Fronteira de cluster",""))</f>
        <v/>
      </c>
    </row>
    <row r="914" customFormat="false" ht="15" hidden="false" customHeight="false" outlineLevel="0" collapsed="false">
      <c r="A914" s="14" t="n">
        <v>913</v>
      </c>
      <c r="B914" s="14" t="n">
        <v>0</v>
      </c>
      <c r="C914" s="14" t="s">
        <v>29</v>
      </c>
      <c r="D914" s="15" t="n">
        <v>8892.16108247423</v>
      </c>
      <c r="E914" s="16" t="n">
        <f aca="false">INDEX(Parâmetros!$C$33:$C$37,MATCH(B914,Parâmetros!$A$33:$A$37,0))</f>
        <v>5476.37033462034</v>
      </c>
      <c r="F914" s="7" t="n">
        <f aca="false">MAX(0,(E914-D914)/D914)</f>
        <v>0</v>
      </c>
      <c r="G914" s="7" t="n">
        <f aca="false">MIN(K914*Parâmetros!$B$19,Parâmetros!$B$8)</f>
        <v>0.0244038339849275</v>
      </c>
      <c r="H914" s="3" t="str">
        <f aca="false">IF(F914&gt;=Parâmetros!$B$6,"Ação","Acompanhamento")</f>
        <v>Acompanhamento</v>
      </c>
      <c r="I914" s="17" t="n">
        <v>300.67940552017</v>
      </c>
      <c r="J914" s="11" t="n">
        <f aca="false">D914*I914</f>
        <v>2673689.70806794</v>
      </c>
      <c r="K914" s="7" t="n">
        <f aca="false">Parâmetros!$B$4+Parâmetros!$B$5*F914</f>
        <v>0.02</v>
      </c>
      <c r="L914" s="11" t="n">
        <f aca="false">D914*(1+G914)</f>
        <v>9109.16390529816</v>
      </c>
      <c r="M914" s="14" t="n">
        <v>0</v>
      </c>
      <c r="N914" s="4" t="n">
        <v>0.962962962962963</v>
      </c>
      <c r="O914" s="3" t="str">
        <f aca="false">IF(AND(B914=4,M914=1),IF(N914&lt;0.8,"Subgrupo 7 dias; fronteira de cluster","Subgrupo 7 dias"),IF(N914&lt;0.8,"Fronteira de cluster",""))</f>
        <v/>
      </c>
    </row>
    <row r="915" customFormat="false" ht="15" hidden="false" customHeight="false" outlineLevel="0" collapsed="false">
      <c r="A915" s="14" t="n">
        <v>914</v>
      </c>
      <c r="B915" s="14" t="n">
        <v>4</v>
      </c>
      <c r="C915" s="14" t="s">
        <v>33</v>
      </c>
      <c r="D915" s="15" t="n">
        <v>9506.70790816327</v>
      </c>
      <c r="E915" s="16" t="n">
        <f aca="false">INDEX(Parâmetros!$C$33:$C$37,MATCH(B915,Parâmetros!$A$33:$A$37,0))</f>
        <v>8837.10512820513</v>
      </c>
      <c r="F915" s="7" t="n">
        <f aca="false">MAX(0,(E915-D915)/D915)</f>
        <v>0</v>
      </c>
      <c r="G915" s="7" t="n">
        <f aca="false">MIN(K915*Parâmetros!$B$19,Parâmetros!$B$8)</f>
        <v>0.0244038339849275</v>
      </c>
      <c r="H915" s="3" t="str">
        <f aca="false">IF(F915&gt;=Parâmetros!$B$6,"Ação","Acompanhamento")</f>
        <v>Acompanhamento</v>
      </c>
      <c r="I915" s="17" t="n">
        <v>303.779193205945</v>
      </c>
      <c r="J915" s="11" t="n">
        <f aca="false">D915*I915</f>
        <v>2887940.05838641</v>
      </c>
      <c r="K915" s="7" t="n">
        <f aca="false">Parâmetros!$B$4+Parâmetros!$B$5*F915</f>
        <v>0.02</v>
      </c>
      <c r="L915" s="11" t="n">
        <f aca="false">D915*(1+G915)</f>
        <v>9738.70802969728</v>
      </c>
      <c r="M915" s="14" t="n">
        <v>0</v>
      </c>
      <c r="N915" s="4" t="n">
        <v>0.976744186046512</v>
      </c>
      <c r="O915" s="3" t="str">
        <f aca="false">IF(AND(B915=4,M915=1),IF(N915&lt;0.8,"Subgrupo 7 dias; fronteira de cluster","Subgrupo 7 dias"),IF(N915&lt;0.8,"Fronteira de cluster",""))</f>
        <v/>
      </c>
    </row>
    <row r="916" customFormat="false" ht="15" hidden="false" customHeight="false" outlineLevel="0" collapsed="false">
      <c r="A916" s="14" t="n">
        <v>915</v>
      </c>
      <c r="B916" s="14" t="n">
        <v>1</v>
      </c>
      <c r="C916" s="14" t="s">
        <v>30</v>
      </c>
      <c r="D916" s="15" t="n">
        <v>6338.1077170418</v>
      </c>
      <c r="E916" s="16" t="n">
        <f aca="false">INDEX(Parâmetros!$C$33:$C$37,MATCH(B916,Parâmetros!$A$33:$A$37,0))</f>
        <v>6959.92435130262</v>
      </c>
      <c r="F916" s="7" t="n">
        <f aca="false">MAX(0,(E916-D916)/D916)</f>
        <v>0.0981076153989764</v>
      </c>
      <c r="G916" s="7" t="n">
        <f aca="false">MIN(K916*Parâmetros!$B$19,Parâmetros!$B$8)</f>
        <v>0.0543313584705991</v>
      </c>
      <c r="H916" s="3" t="str">
        <f aca="false">IF(F916&gt;=Parâmetros!$B$6,"Ação","Acompanhamento")</f>
        <v>Acompanhamento</v>
      </c>
      <c r="I916" s="17" t="n">
        <v>299.511873350924</v>
      </c>
      <c r="J916" s="11" t="n">
        <f aca="false">D916*I916</f>
        <v>1898338.51583113</v>
      </c>
      <c r="K916" s="7" t="n">
        <f aca="false">Parâmetros!$B$4+Parâmetros!$B$5*F916</f>
        <v>0.0445269038497441</v>
      </c>
      <c r="L916" s="11" t="n">
        <f aca="false">D916*(1+G916)</f>
        <v>6682.46571944167</v>
      </c>
      <c r="M916" s="14" t="n">
        <v>0</v>
      </c>
      <c r="N916" s="4" t="n">
        <v>0.987341772151899</v>
      </c>
      <c r="O916" s="3" t="str">
        <f aca="false">IF(AND(B916=4,M916=1),IF(N916&lt;0.8,"Subgrupo 7 dias; fronteira de cluster","Subgrupo 7 dias"),IF(N916&lt;0.8,"Fronteira de cluster",""))</f>
        <v/>
      </c>
    </row>
    <row r="917" customFormat="false" ht="15" hidden="false" customHeight="false" outlineLevel="0" collapsed="false">
      <c r="A917" s="14" t="n">
        <v>916</v>
      </c>
      <c r="B917" s="14" t="n">
        <v>0</v>
      </c>
      <c r="C917" s="14" t="s">
        <v>29</v>
      </c>
      <c r="D917" s="15" t="n">
        <v>5382.22680412371</v>
      </c>
      <c r="E917" s="16" t="n">
        <f aca="false">INDEX(Parâmetros!$C$33:$C$37,MATCH(B917,Parâmetros!$A$33:$A$37,0))</f>
        <v>5476.37033462034</v>
      </c>
      <c r="F917" s="7" t="n">
        <f aca="false">MAX(0,(E917-D917)/D917)</f>
        <v>0.0174915576624332</v>
      </c>
      <c r="G917" s="7" t="n">
        <f aca="false">MIN(K917*Parâmetros!$B$19,Parâmetros!$B$8)</f>
        <v>0.029739597351575</v>
      </c>
      <c r="H917" s="3" t="str">
        <f aca="false">IF(F917&gt;=Parâmetros!$B$6,"Ação","Acompanhamento")</f>
        <v>Acompanhamento</v>
      </c>
      <c r="I917" s="17" t="n">
        <v>300.67940552017</v>
      </c>
      <c r="J917" s="11" t="n">
        <f aca="false">D917*I917</f>
        <v>1618324.75583864</v>
      </c>
      <c r="K917" s="7" t="n">
        <f aca="false">Parâmetros!$B$4+Parâmetros!$B$5*F917</f>
        <v>0.0243728894156083</v>
      </c>
      <c r="L917" s="11" t="n">
        <f aca="false">D917*(1+G917)</f>
        <v>5542.29206213321</v>
      </c>
      <c r="M917" s="14" t="n">
        <v>0</v>
      </c>
      <c r="N917" s="4" t="n">
        <v>0.578313253012048</v>
      </c>
      <c r="O917" s="3" t="str">
        <f aca="false">IF(AND(B917=4,M917=1),IF(N917&lt;0.8,"Subgrupo 7 dias; fronteira de cluster","Subgrupo 7 dias"),IF(N917&lt;0.8,"Fronteira de cluster",""))</f>
        <v>Fronteira de cluster</v>
      </c>
    </row>
    <row r="918" customFormat="false" ht="15" hidden="false" customHeight="false" outlineLevel="0" collapsed="false">
      <c r="A918" s="14" t="n">
        <v>917</v>
      </c>
      <c r="B918" s="14" t="n">
        <v>3</v>
      </c>
      <c r="C918" s="14" t="s">
        <v>32</v>
      </c>
      <c r="D918" s="15" t="n">
        <v>6702.94480102696</v>
      </c>
      <c r="E918" s="16" t="n">
        <f aca="false">INDEX(Parâmetros!$C$33:$C$37,MATCH(B918,Parâmetros!$A$33:$A$37,0))</f>
        <v>5909.24487179487</v>
      </c>
      <c r="F918" s="7" t="n">
        <f aca="false">MAX(0,(E918-D918)/D918)</f>
        <v>0</v>
      </c>
      <c r="G918" s="7" t="n">
        <f aca="false">MIN(K918*Parâmetros!$B$19,Parâmetros!$B$8)</f>
        <v>0.0244038339849275</v>
      </c>
      <c r="H918" s="3" t="str">
        <f aca="false">IF(F918&gt;=Parâmetros!$B$6,"Ação","Acompanhamento")</f>
        <v>Acompanhamento</v>
      </c>
      <c r="I918" s="17" t="n">
        <v>301.841825902336</v>
      </c>
      <c r="J918" s="11" t="n">
        <f aca="false">D918*I918</f>
        <v>2023229.09766454</v>
      </c>
      <c r="K918" s="7" t="n">
        <f aca="false">Parâmetros!$B$4+Parâmetros!$B$5*F918</f>
        <v>0.02</v>
      </c>
      <c r="L918" s="11" t="n">
        <f aca="false">D918*(1+G918)</f>
        <v>6866.52235316135</v>
      </c>
      <c r="M918" s="14" t="n">
        <v>0</v>
      </c>
      <c r="N918" s="4" t="n">
        <v>0.807692307692308</v>
      </c>
      <c r="O918" s="3" t="str">
        <f aca="false">IF(AND(B918=4,M918=1),IF(N918&lt;0.8,"Subgrupo 7 dias; fronteira de cluster","Subgrupo 7 dias"),IF(N918&lt;0.8,"Fronteira de cluster",""))</f>
        <v/>
      </c>
    </row>
    <row r="919" customFormat="false" ht="15" hidden="false" customHeight="false" outlineLevel="0" collapsed="false">
      <c r="A919" s="14" t="n">
        <v>918</v>
      </c>
      <c r="B919" s="14" t="n">
        <v>3</v>
      </c>
      <c r="C919" s="14" t="s">
        <v>32</v>
      </c>
      <c r="D919" s="15" t="n">
        <v>5187.2717948718</v>
      </c>
      <c r="E919" s="16" t="n">
        <f aca="false">INDEX(Parâmetros!$C$33:$C$37,MATCH(B919,Parâmetros!$A$33:$A$37,0))</f>
        <v>5909.24487179487</v>
      </c>
      <c r="F919" s="7" t="n">
        <f aca="false">MAX(0,(E919-D919)/D919)</f>
        <v>0.139181655689765</v>
      </c>
      <c r="G919" s="7" t="n">
        <f aca="false">MIN(K919*Parâmetros!$B$19,Parâmetros!$B$8)</f>
        <v>0.066860909224932</v>
      </c>
      <c r="H919" s="3" t="str">
        <f aca="false">IF(F919&gt;=Parâmetros!$B$6,"Ação","Acompanhamento")</f>
        <v>Ação</v>
      </c>
      <c r="I919" s="17" t="n">
        <v>302.229299363057</v>
      </c>
      <c r="J919" s="11" t="n">
        <f aca="false">D919*I919</f>
        <v>1567745.52016985</v>
      </c>
      <c r="K919" s="7" t="n">
        <f aca="false">Parâmetros!$B$4+Parâmetros!$B$5*F919</f>
        <v>0.0547954139224414</v>
      </c>
      <c r="L919" s="11" t="n">
        <f aca="false">D919*(1+G919)</f>
        <v>5534.09750347377</v>
      </c>
      <c r="M919" s="14" t="n">
        <v>0</v>
      </c>
      <c r="N919" s="4" t="n">
        <v>1</v>
      </c>
      <c r="O919" s="3" t="str">
        <f aca="false">IF(AND(B919=4,M919=1),IF(N919&lt;0.8,"Subgrupo 7 dias; fronteira de cluster","Subgrupo 7 dias"),IF(N919&lt;0.8,"Fronteira de cluster",""))</f>
        <v/>
      </c>
    </row>
    <row r="920" customFormat="false" ht="15" hidden="false" customHeight="false" outlineLevel="0" collapsed="false">
      <c r="A920" s="14" t="n">
        <v>919</v>
      </c>
      <c r="B920" s="14" t="n">
        <v>0</v>
      </c>
      <c r="C920" s="14" t="s">
        <v>29</v>
      </c>
      <c r="D920" s="15" t="n">
        <v>5536.38164251208</v>
      </c>
      <c r="E920" s="16" t="n">
        <f aca="false">INDEX(Parâmetros!$C$33:$C$37,MATCH(B920,Parâmetros!$A$33:$A$37,0))</f>
        <v>5476.37033462034</v>
      </c>
      <c r="F920" s="7" t="n">
        <f aca="false">MAX(0,(E920-D920)/D920)</f>
        <v>0</v>
      </c>
      <c r="G920" s="7" t="n">
        <f aca="false">MIN(K920*Parâmetros!$B$19,Parâmetros!$B$8)</f>
        <v>0.0244038339849275</v>
      </c>
      <c r="H920" s="3" t="str">
        <f aca="false">IF(F920&gt;=Parâmetros!$B$6,"Ação","Acompanhamento")</f>
        <v>Acompanhamento</v>
      </c>
      <c r="I920" s="17" t="n">
        <v>299.030343007916</v>
      </c>
      <c r="J920" s="11" t="n">
        <f aca="false">D920*I920</f>
        <v>1655546.10158311</v>
      </c>
      <c r="K920" s="7" t="n">
        <f aca="false">Parâmetros!$B$4+Parâmetros!$B$5*F920</f>
        <v>0.02</v>
      </c>
      <c r="L920" s="11" t="n">
        <f aca="false">D920*(1+G920)</f>
        <v>5671.49058099314</v>
      </c>
      <c r="M920" s="14" t="n">
        <v>0</v>
      </c>
      <c r="N920" s="4" t="n">
        <v>1</v>
      </c>
      <c r="O920" s="3" t="str">
        <f aca="false">IF(AND(B920=4,M920=1),IF(N920&lt;0.8,"Subgrupo 7 dias; fronteira de cluster","Subgrupo 7 dias"),IF(N920&lt;0.8,"Fronteira de cluster",""))</f>
        <v/>
      </c>
    </row>
    <row r="921" customFormat="false" ht="15" hidden="false" customHeight="false" outlineLevel="0" collapsed="false">
      <c r="A921" s="14" t="n">
        <v>920</v>
      </c>
      <c r="B921" s="14" t="n">
        <v>4</v>
      </c>
      <c r="C921" s="14" t="s">
        <v>33</v>
      </c>
      <c r="D921" s="15" t="n">
        <v>5764.1961414791</v>
      </c>
      <c r="E921" s="16" t="n">
        <f aca="false">INDEX(Parâmetros!$C$33:$C$37,MATCH(B921,Parâmetros!$A$33:$A$37,0))</f>
        <v>8837.10512820513</v>
      </c>
      <c r="F921" s="7" t="n">
        <f aca="false">MAX(0,(E921-D921)/D921)</f>
        <v>0.533102779867848</v>
      </c>
      <c r="G921" s="7" t="n">
        <f aca="false">MIN(K921*Parâmetros!$B$19,Parâmetros!$B$8)</f>
        <v>0.187025730694906</v>
      </c>
      <c r="H921" s="3" t="str">
        <f aca="false">IF(F921&gt;=Parâmetros!$B$6,"Ação","Acompanhamento")</f>
        <v>Ação</v>
      </c>
      <c r="I921" s="17" t="n">
        <v>299.511873350924</v>
      </c>
      <c r="J921" s="11" t="n">
        <f aca="false">D921*I921</f>
        <v>1726445.18469657</v>
      </c>
      <c r="K921" s="7" t="n">
        <f aca="false">Parâmetros!$B$4+Parâmetros!$B$5*F921</f>
        <v>0.153275694966962</v>
      </c>
      <c r="L921" s="11" t="n">
        <f aca="false">D921*(1+G921)</f>
        <v>6842.24913670799</v>
      </c>
      <c r="M921" s="14" t="n">
        <v>0</v>
      </c>
      <c r="N921" s="4" t="n">
        <v>0.746666666666667</v>
      </c>
      <c r="O921" s="3" t="str">
        <f aca="false">IF(AND(B921=4,M921=1),IF(N921&lt;0.8,"Subgrupo 7 dias; fronteira de cluster","Subgrupo 7 dias"),IF(N921&lt;0.8,"Fronteira de cluster",""))</f>
        <v>Fronteira de cluster</v>
      </c>
    </row>
    <row r="922" customFormat="false" ht="15" hidden="false" customHeight="false" outlineLevel="0" collapsed="false">
      <c r="A922" s="14" t="n">
        <v>921</v>
      </c>
      <c r="B922" s="14" t="n">
        <v>0</v>
      </c>
      <c r="C922" s="14" t="s">
        <v>29</v>
      </c>
      <c r="D922" s="15" t="n">
        <v>9473.89487179487</v>
      </c>
      <c r="E922" s="16" t="n">
        <f aca="false">INDEX(Parâmetros!$C$33:$C$37,MATCH(B922,Parâmetros!$A$33:$A$37,0))</f>
        <v>5476.37033462034</v>
      </c>
      <c r="F922" s="7" t="n">
        <f aca="false">MAX(0,(E922-D922)/D922)</f>
        <v>0</v>
      </c>
      <c r="G922" s="7" t="n">
        <f aca="false">MIN(K922*Parâmetros!$B$19,Parâmetros!$B$8)</f>
        <v>0.0244038339849275</v>
      </c>
      <c r="H922" s="3" t="str">
        <f aca="false">IF(F922&gt;=Parâmetros!$B$6,"Ação","Acompanhamento")</f>
        <v>Acompanhamento</v>
      </c>
      <c r="I922" s="17" t="n">
        <v>302.229299363057</v>
      </c>
      <c r="J922" s="11" t="n">
        <f aca="false">D922*I922</f>
        <v>2863288.60934183</v>
      </c>
      <c r="K922" s="7" t="n">
        <f aca="false">Parâmetros!$B$4+Parâmetros!$B$5*F922</f>
        <v>0.02</v>
      </c>
      <c r="L922" s="11" t="n">
        <f aca="false">D922*(1+G922)</f>
        <v>9705.09422943681</v>
      </c>
      <c r="M922" s="14" t="n">
        <v>0</v>
      </c>
      <c r="N922" s="4" t="n">
        <v>0.985714285714286</v>
      </c>
      <c r="O922" s="3" t="str">
        <f aca="false">IF(AND(B922=4,M922=1),IF(N922&lt;0.8,"Subgrupo 7 dias; fronteira de cluster","Subgrupo 7 dias"),IF(N922&lt;0.8,"Fronteira de cluster",""))</f>
        <v/>
      </c>
    </row>
    <row r="923" customFormat="false" ht="15" hidden="false" customHeight="false" outlineLevel="0" collapsed="false">
      <c r="A923" s="14" t="n">
        <v>922</v>
      </c>
      <c r="B923" s="14" t="n">
        <v>1</v>
      </c>
      <c r="C923" s="14" t="s">
        <v>30</v>
      </c>
      <c r="D923" s="15" t="n">
        <v>7405.8464516129</v>
      </c>
      <c r="E923" s="16" t="n">
        <f aca="false">INDEX(Parâmetros!$C$33:$C$37,MATCH(B923,Parâmetros!$A$33:$A$37,0))</f>
        <v>6959.92435130262</v>
      </c>
      <c r="F923" s="7" t="n">
        <f aca="false">MAX(0,(E923-D923)/D923)</f>
        <v>0</v>
      </c>
      <c r="G923" s="7" t="n">
        <f aca="false">MIN(K923*Parâmetros!$B$19,Parâmetros!$B$8)</f>
        <v>0.0244038339849275</v>
      </c>
      <c r="H923" s="3" t="str">
        <f aca="false">IF(F923&gt;=Parâmetros!$B$6,"Ação","Acompanhamento")</f>
        <v>Acompanhamento</v>
      </c>
      <c r="I923" s="17" t="n">
        <v>300.291932059448</v>
      </c>
      <c r="J923" s="11" t="n">
        <f aca="false">D923*I923</f>
        <v>2223915.93949045</v>
      </c>
      <c r="K923" s="7" t="n">
        <f aca="false">Parâmetros!$B$4+Parâmetros!$B$5*F923</f>
        <v>0.02</v>
      </c>
      <c r="L923" s="11" t="n">
        <f aca="false">D923*(1+G923)</f>
        <v>7586.57749893593</v>
      </c>
      <c r="M923" s="14" t="n">
        <v>0</v>
      </c>
      <c r="N923" s="4" t="n">
        <v>0.873417721518987</v>
      </c>
      <c r="O923" s="3" t="str">
        <f aca="false">IF(AND(B923=4,M923=1),IF(N923&lt;0.8,"Subgrupo 7 dias; fronteira de cluster","Subgrupo 7 dias"),IF(N923&lt;0.8,"Fronteira de cluster",""))</f>
        <v/>
      </c>
    </row>
    <row r="924" customFormat="false" ht="15" hidden="false" customHeight="false" outlineLevel="0" collapsed="false">
      <c r="A924" s="14" t="n">
        <v>923</v>
      </c>
      <c r="B924" s="14" t="n">
        <v>4</v>
      </c>
      <c r="C924" s="14" t="s">
        <v>33</v>
      </c>
      <c r="D924" s="15" t="n">
        <v>5315.3443877551</v>
      </c>
      <c r="E924" s="16" t="n">
        <f aca="false">INDEX(Parâmetros!$C$33:$C$37,MATCH(B924,Parâmetros!$A$33:$A$37,0))</f>
        <v>8837.10512820513</v>
      </c>
      <c r="F924" s="7" t="n">
        <f aca="false">MAX(0,(E924-D924)/D924)</f>
        <v>0.662564922145603</v>
      </c>
      <c r="G924" s="7" t="n">
        <f aca="false">MIN(K924*Parâmetros!$B$19,Parâmetros!$B$8)</f>
        <v>0.2</v>
      </c>
      <c r="H924" s="3" t="str">
        <f aca="false">IF(F924&gt;=Parâmetros!$B$6,"Ação","Acompanhamento")</f>
        <v>Ação</v>
      </c>
      <c r="I924" s="17" t="n">
        <v>303.779193205945</v>
      </c>
      <c r="J924" s="11" t="n">
        <f aca="false">D924*I924</f>
        <v>1614691.02972399</v>
      </c>
      <c r="K924" s="7" t="n">
        <f aca="false">Parâmetros!$B$4+Parâmetros!$B$5*F924</f>
        <v>0.185641230536401</v>
      </c>
      <c r="L924" s="11" t="n">
        <f aca="false">D924*(1+G924)</f>
        <v>6378.41326530612</v>
      </c>
      <c r="M924" s="14" t="n">
        <v>0</v>
      </c>
      <c r="N924" s="4" t="n">
        <v>1</v>
      </c>
      <c r="O924" s="3" t="str">
        <f aca="false">IF(AND(B924=4,M924=1),IF(N924&lt;0.8,"Subgrupo 7 dias; fronteira de cluster","Subgrupo 7 dias"),IF(N924&lt;0.8,"Fronteira de cluster",""))</f>
        <v/>
      </c>
    </row>
    <row r="925" customFormat="false" ht="15" hidden="false" customHeight="false" outlineLevel="0" collapsed="false">
      <c r="A925" s="14" t="n">
        <v>924</v>
      </c>
      <c r="B925" s="14" t="n">
        <v>3</v>
      </c>
      <c r="C925" s="14" t="s">
        <v>32</v>
      </c>
      <c r="D925" s="15" t="n">
        <v>4752.88318356868</v>
      </c>
      <c r="E925" s="16" t="n">
        <f aca="false">INDEX(Parâmetros!$C$33:$C$37,MATCH(B925,Parâmetros!$A$33:$A$37,0))</f>
        <v>5909.24487179487</v>
      </c>
      <c r="F925" s="7" t="n">
        <f aca="false">MAX(0,(E925-D925)/D925)</f>
        <v>0.243296888133898</v>
      </c>
      <c r="G925" s="7" t="n">
        <f aca="false">MIN(K925*Parâmetros!$B$19,Parâmetros!$B$8)</f>
        <v>0.0986210448232914</v>
      </c>
      <c r="H925" s="3" t="str">
        <f aca="false">IF(F925&gt;=Parâmetros!$B$6,"Ação","Acompanhamento")</f>
        <v>Ação</v>
      </c>
      <c r="I925" s="17" t="n">
        <v>301.841825902336</v>
      </c>
      <c r="J925" s="11" t="n">
        <f aca="false">D925*I925</f>
        <v>1434618.93842887</v>
      </c>
      <c r="K925" s="7" t="n">
        <f aca="false">Parâmetros!$B$4+Parâmetros!$B$5*F925</f>
        <v>0.0808242220334745</v>
      </c>
      <c r="L925" s="11" t="n">
        <f aca="false">D925*(1+G925)</f>
        <v>5221.61748905527</v>
      </c>
      <c r="M925" s="14" t="n">
        <v>0</v>
      </c>
      <c r="N925" s="4" t="n">
        <v>0.987179487179487</v>
      </c>
      <c r="O925" s="3" t="str">
        <f aca="false">IF(AND(B925=4,M925=1),IF(N925&lt;0.8,"Subgrupo 7 dias; fronteira de cluster","Subgrupo 7 dias"),IF(N925&lt;0.8,"Fronteira de cluster",""))</f>
        <v/>
      </c>
    </row>
    <row r="926" customFormat="false" ht="15" hidden="false" customHeight="false" outlineLevel="0" collapsed="false">
      <c r="A926" s="14" t="n">
        <v>925</v>
      </c>
      <c r="B926" s="14" t="n">
        <v>4</v>
      </c>
      <c r="C926" s="14" t="s">
        <v>33</v>
      </c>
      <c r="D926" s="15" t="n">
        <v>6702.42708333333</v>
      </c>
      <c r="E926" s="16" t="n">
        <f aca="false">INDEX(Parâmetros!$C$33:$C$37,MATCH(B926,Parâmetros!$A$33:$A$37,0))</f>
        <v>8837.10512820513</v>
      </c>
      <c r="F926" s="7" t="n">
        <f aca="false">MAX(0,(E926-D926)/D926)</f>
        <v>0.318493288823689</v>
      </c>
      <c r="G926" s="7" t="n">
        <f aca="false">MIN(K926*Parâmetros!$B$19,Parâmetros!$B$8)</f>
        <v>0.121559550807013</v>
      </c>
      <c r="H926" s="3" t="str">
        <f aca="false">IF(F926&gt;=Parâmetros!$B$6,"Ação","Acompanhamento")</f>
        <v>Ação</v>
      </c>
      <c r="I926" s="17" t="n">
        <v>297.967091295117</v>
      </c>
      <c r="J926" s="11" t="n">
        <f aca="false">D926*I926</f>
        <v>1997102.70263845</v>
      </c>
      <c r="K926" s="7" t="n">
        <f aca="false">Parâmetros!$B$4+Parâmetros!$B$5*F926</f>
        <v>0.0996233222059221</v>
      </c>
      <c r="L926" s="11" t="n">
        <f aca="false">D926*(1+G926)</f>
        <v>7517.17110890009</v>
      </c>
      <c r="M926" s="14" t="n">
        <v>0</v>
      </c>
      <c r="N926" s="4" t="n">
        <v>0.881578947368421</v>
      </c>
      <c r="O926" s="3" t="str">
        <f aca="false">IF(AND(B926=4,M926=1),IF(N926&lt;0.8,"Subgrupo 7 dias; fronteira de cluster","Subgrupo 7 dias"),IF(N926&lt;0.8,"Fronteira de cluster",""))</f>
        <v/>
      </c>
    </row>
    <row r="927" customFormat="false" ht="15" hidden="false" customHeight="false" outlineLevel="0" collapsed="false">
      <c r="A927" s="14" t="n">
        <v>926</v>
      </c>
      <c r="B927" s="14" t="n">
        <v>1</v>
      </c>
      <c r="C927" s="14" t="s">
        <v>30</v>
      </c>
      <c r="D927" s="15" t="n">
        <v>7260.58793324775</v>
      </c>
      <c r="E927" s="16" t="n">
        <f aca="false">INDEX(Parâmetros!$C$33:$C$37,MATCH(B927,Parâmetros!$A$33:$A$37,0))</f>
        <v>6959.92435130262</v>
      </c>
      <c r="F927" s="7" t="n">
        <f aca="false">MAX(0,(E927-D927)/D927)</f>
        <v>0</v>
      </c>
      <c r="G927" s="7" t="n">
        <f aca="false">MIN(K927*Parâmetros!$B$19,Parâmetros!$B$8)</f>
        <v>0.0244038339849275</v>
      </c>
      <c r="H927" s="3" t="str">
        <f aca="false">IF(F927&gt;=Parâmetros!$B$6,"Ação","Acompanhamento")</f>
        <v>Acompanhamento</v>
      </c>
      <c r="I927" s="17" t="n">
        <v>301.841825902336</v>
      </c>
      <c r="J927" s="11" t="n">
        <f aca="false">D927*I927</f>
        <v>2191549.11889597</v>
      </c>
      <c r="K927" s="7" t="n">
        <f aca="false">Parâmetros!$B$4+Parâmetros!$B$5*F927</f>
        <v>0.02</v>
      </c>
      <c r="L927" s="11" t="n">
        <f aca="false">D927*(1+G927)</f>
        <v>7437.7741158037</v>
      </c>
      <c r="M927" s="14" t="n">
        <v>0</v>
      </c>
      <c r="N927" s="4" t="n">
        <v>1</v>
      </c>
      <c r="O927" s="3" t="str">
        <f aca="false">IF(AND(B927=4,M927=1),IF(N927&lt;0.8,"Subgrupo 7 dias; fronteira de cluster","Subgrupo 7 dias"),IF(N927&lt;0.8,"Fronteira de cluster",""))</f>
        <v/>
      </c>
    </row>
    <row r="928" customFormat="false" ht="15" hidden="false" customHeight="false" outlineLevel="0" collapsed="false">
      <c r="A928" s="14" t="n">
        <v>927</v>
      </c>
      <c r="B928" s="14" t="n">
        <v>0</v>
      </c>
      <c r="C928" s="14" t="s">
        <v>29</v>
      </c>
      <c r="D928" s="15" t="n">
        <v>6562.11154345007</v>
      </c>
      <c r="E928" s="16" t="n">
        <f aca="false">INDEX(Parâmetros!$C$33:$C$37,MATCH(B928,Parâmetros!$A$33:$A$37,0))</f>
        <v>5476.37033462034</v>
      </c>
      <c r="F928" s="7" t="n">
        <f aca="false">MAX(0,(E928-D928)/D928)</f>
        <v>0</v>
      </c>
      <c r="G928" s="7" t="n">
        <f aca="false">MIN(K928*Parâmetros!$B$19,Parâmetros!$B$8)</f>
        <v>0.0244038339849275</v>
      </c>
      <c r="H928" s="3" t="str">
        <f aca="false">IF(F928&gt;=Parâmetros!$B$6,"Ação","Acompanhamento")</f>
        <v>Acompanhamento</v>
      </c>
      <c r="I928" s="17" t="n">
        <v>299.129511677282</v>
      </c>
      <c r="J928" s="11" t="n">
        <f aca="false">D928*I928</f>
        <v>1962921.22156408</v>
      </c>
      <c r="K928" s="7" t="n">
        <f aca="false">Parâmetros!$B$4+Parâmetros!$B$5*F928</f>
        <v>0.02</v>
      </c>
      <c r="L928" s="11" t="n">
        <f aca="false">D928*(1+G928)</f>
        <v>6722.252224147</v>
      </c>
      <c r="M928" s="14" t="n">
        <v>0</v>
      </c>
      <c r="N928" s="4" t="n">
        <v>0.98876404494382</v>
      </c>
      <c r="O928" s="3" t="str">
        <f aca="false">IF(AND(B928=4,M928=1),IF(N928&lt;0.8,"Subgrupo 7 dias; fronteira de cluster","Subgrupo 7 dias"),IF(N928&lt;0.8,"Fronteira de cluster",""))</f>
        <v/>
      </c>
    </row>
    <row r="929" customFormat="false" ht="15" hidden="false" customHeight="false" outlineLevel="0" collapsed="false">
      <c r="A929" s="14" t="n">
        <v>928</v>
      </c>
      <c r="B929" s="14" t="n">
        <v>1</v>
      </c>
      <c r="C929" s="14" t="s">
        <v>30</v>
      </c>
      <c r="D929" s="15" t="n">
        <v>8014.68292682927</v>
      </c>
      <c r="E929" s="16" t="n">
        <f aca="false">INDEX(Parâmetros!$C$33:$C$37,MATCH(B929,Parâmetros!$A$33:$A$37,0))</f>
        <v>6959.92435130262</v>
      </c>
      <c r="F929" s="7" t="n">
        <f aca="false">MAX(0,(E929-D929)/D929)</f>
        <v>0</v>
      </c>
      <c r="G929" s="7" t="n">
        <f aca="false">MIN(K929*Parâmetros!$B$19,Parâmetros!$B$8)</f>
        <v>0.0244038339849275</v>
      </c>
      <c r="H929" s="3" t="str">
        <f aca="false">IF(F929&gt;=Parâmetros!$B$6,"Ação","Acompanhamento")</f>
        <v>Acompanhamento</v>
      </c>
      <c r="I929" s="17" t="n">
        <v>301.841825902336</v>
      </c>
      <c r="J929" s="11" t="n">
        <f aca="false">D929*I929</f>
        <v>2419166.52866242</v>
      </c>
      <c r="K929" s="7" t="n">
        <f aca="false">Parâmetros!$B$4+Parâmetros!$B$5*F929</f>
        <v>0.02</v>
      </c>
      <c r="L929" s="11" t="n">
        <f aca="false">D929*(1+G929)</f>
        <v>8210.27191841744</v>
      </c>
      <c r="M929" s="14" t="n">
        <v>0</v>
      </c>
      <c r="N929" s="4" t="n">
        <v>0.893333333333333</v>
      </c>
      <c r="O929" s="3" t="str">
        <f aca="false">IF(AND(B929=4,M929=1),IF(N929&lt;0.8,"Subgrupo 7 dias; fronteira de cluster","Subgrupo 7 dias"),IF(N929&lt;0.8,"Fronteira de cluster",""))</f>
        <v/>
      </c>
    </row>
    <row r="930" customFormat="false" ht="15" hidden="false" customHeight="false" outlineLevel="0" collapsed="false">
      <c r="A930" s="14" t="n">
        <v>929</v>
      </c>
      <c r="B930" s="14" t="n">
        <v>0</v>
      </c>
      <c r="C930" s="14" t="s">
        <v>29</v>
      </c>
      <c r="D930" s="15" t="n">
        <v>5815.34566326531</v>
      </c>
      <c r="E930" s="16" t="n">
        <f aca="false">INDEX(Parâmetros!$C$33:$C$37,MATCH(B930,Parâmetros!$A$33:$A$37,0))</f>
        <v>5476.37033462034</v>
      </c>
      <c r="F930" s="7" t="n">
        <f aca="false">MAX(0,(E930-D930)/D930)</f>
        <v>0</v>
      </c>
      <c r="G930" s="7" t="n">
        <f aca="false">MIN(K930*Parâmetros!$B$19,Parâmetros!$B$8)</f>
        <v>0.0244038339849275</v>
      </c>
      <c r="H930" s="3" t="str">
        <f aca="false">IF(F930&gt;=Parâmetros!$B$6,"Ação","Acompanhamento")</f>
        <v>Acompanhamento</v>
      </c>
      <c r="I930" s="17" t="n">
        <v>303.779193205945</v>
      </c>
      <c r="J930" s="11" t="n">
        <f aca="false">D930*I930</f>
        <v>1766581.01380042</v>
      </c>
      <c r="K930" s="7" t="n">
        <f aca="false">Parâmetros!$B$4+Parâmetros!$B$5*F930</f>
        <v>0.02</v>
      </c>
      <c r="L930" s="11" t="n">
        <f aca="false">D930*(1+G930)</f>
        <v>5957.2623933966</v>
      </c>
      <c r="M930" s="14" t="n">
        <v>0</v>
      </c>
      <c r="N930" s="4" t="n">
        <v>0.555555555555556</v>
      </c>
      <c r="O930" s="3" t="str">
        <f aca="false">IF(AND(B930=4,M930=1),IF(N930&lt;0.8,"Subgrupo 7 dias; fronteira de cluster","Subgrupo 7 dias"),IF(N930&lt;0.8,"Fronteira de cluster",""))</f>
        <v>Fronteira de cluster</v>
      </c>
    </row>
    <row r="931" customFormat="false" ht="15" hidden="false" customHeight="false" outlineLevel="0" collapsed="false">
      <c r="A931" s="14" t="n">
        <v>930</v>
      </c>
      <c r="B931" s="14" t="n">
        <v>4</v>
      </c>
      <c r="C931" s="14" t="s">
        <v>33</v>
      </c>
      <c r="D931" s="15" t="n">
        <v>7150.15789473684</v>
      </c>
      <c r="E931" s="16" t="n">
        <f aca="false">INDEX(Parâmetros!$C$33:$C$37,MATCH(B931,Parâmetros!$A$33:$A$37,0))</f>
        <v>8837.10512820513</v>
      </c>
      <c r="F931" s="7" t="n">
        <f aca="false">MAX(0,(E931-D931)/D931)</f>
        <v>0.235931465892527</v>
      </c>
      <c r="G931" s="7" t="n">
        <f aca="false">MIN(K931*Parâmetros!$B$19,Parâmetros!$B$8)</f>
        <v>0.0963742380531998</v>
      </c>
      <c r="H931" s="3" t="str">
        <f aca="false">IF(F931&gt;=Parâmetros!$B$6,"Ação","Acompanhamento")</f>
        <v>Ação</v>
      </c>
      <c r="I931" s="17" t="n">
        <v>301.841825902336</v>
      </c>
      <c r="J931" s="11" t="n">
        <f aca="false">D931*I931</f>
        <v>2158216.71443737</v>
      </c>
      <c r="K931" s="7" t="n">
        <f aca="false">Parâmetros!$B$4+Parâmetros!$B$5*F931</f>
        <v>0.0789828664731316</v>
      </c>
      <c r="L931" s="11" t="n">
        <f aca="false">D931*(1+G931)</f>
        <v>7839.24891380218</v>
      </c>
      <c r="M931" s="14" t="n">
        <v>0</v>
      </c>
      <c r="N931" s="4" t="n">
        <v>0.922077922077922</v>
      </c>
      <c r="O931" s="3" t="str">
        <f aca="false">IF(AND(B931=4,M931=1),IF(N931&lt;0.8,"Subgrupo 7 dias; fronteira de cluster","Subgrupo 7 dias"),IF(N931&lt;0.8,"Fronteira de cluster",""))</f>
        <v/>
      </c>
    </row>
    <row r="932" customFormat="false" ht="15" hidden="false" customHeight="false" outlineLevel="0" collapsed="false">
      <c r="A932" s="14" t="n">
        <v>931</v>
      </c>
      <c r="B932" s="14" t="n">
        <v>2</v>
      </c>
      <c r="C932" s="14" t="s">
        <v>31</v>
      </c>
      <c r="D932" s="15" t="n">
        <v>3588.83885714286</v>
      </c>
      <c r="E932" s="16" t="n">
        <f aca="false">INDEX(Parâmetros!$C$33:$C$37,MATCH(B932,Parâmetros!$A$33:$A$37,0))</f>
        <v>6324.80102695764</v>
      </c>
      <c r="F932" s="7" t="n">
        <f aca="false">MAX(0,(E932-D932)/D932)</f>
        <v>0.76235302801891</v>
      </c>
      <c r="G932" s="7" t="n">
        <f aca="false">MIN(K932*Parâmetros!$B$19,Parâmetros!$B$8)</f>
        <v>0.2</v>
      </c>
      <c r="H932" s="3" t="str">
        <f aca="false">IF(F932&gt;=Parâmetros!$B$6,"Ação","Acompanhamento")</f>
        <v>Ação</v>
      </c>
      <c r="I932" s="17" t="n">
        <v>339.039278131635</v>
      </c>
      <c r="J932" s="11" t="n">
        <f aca="false">D932*I932</f>
        <v>1216757.33545648</v>
      </c>
      <c r="K932" s="7" t="n">
        <f aca="false">Parâmetros!$B$4+Parâmetros!$B$5*F932</f>
        <v>0.210588257004728</v>
      </c>
      <c r="L932" s="11" t="n">
        <f aca="false">D932*(1+G932)</f>
        <v>4306.60662857143</v>
      </c>
      <c r="M932" s="14" t="n">
        <v>1</v>
      </c>
      <c r="N932" s="4" t="n">
        <v>0.977777777777778</v>
      </c>
      <c r="O932" s="3" t="str">
        <f aca="false">IF(AND(B932=4,M932=1),IF(N932&lt;0.8,"Subgrupo 7 dias; fronteira de cluster","Subgrupo 7 dias"),IF(N932&lt;0.8,"Fronteira de cluster",""))</f>
        <v/>
      </c>
    </row>
    <row r="933" customFormat="false" ht="15" hidden="false" customHeight="false" outlineLevel="0" collapsed="false">
      <c r="A933" s="14" t="n">
        <v>932</v>
      </c>
      <c r="B933" s="14" t="n">
        <v>1</v>
      </c>
      <c r="C933" s="14" t="s">
        <v>30</v>
      </c>
      <c r="D933" s="15" t="n">
        <v>7395.20866773676</v>
      </c>
      <c r="E933" s="16" t="n">
        <f aca="false">INDEX(Parâmetros!$C$33:$C$37,MATCH(B933,Parâmetros!$A$33:$A$37,0))</f>
        <v>6959.92435130262</v>
      </c>
      <c r="F933" s="7" t="n">
        <f aca="false">MAX(0,(E933-D933)/D933)</f>
        <v>0</v>
      </c>
      <c r="G933" s="7" t="n">
        <f aca="false">MIN(K933*Parâmetros!$B$19,Parâmetros!$B$8)</f>
        <v>0.0244038339849275</v>
      </c>
      <c r="H933" s="3" t="str">
        <f aca="false">IF(F933&gt;=Parâmetros!$B$6,"Ação","Acompanhamento")</f>
        <v>Acompanhamento</v>
      </c>
      <c r="I933" s="17" t="n">
        <v>299.993403693931</v>
      </c>
      <c r="J933" s="11" t="n">
        <f aca="false">D933*I933</f>
        <v>2218513.81926121</v>
      </c>
      <c r="K933" s="7" t="n">
        <f aca="false">Parâmetros!$B$4+Parâmetros!$B$5*F933</f>
        <v>0.02</v>
      </c>
      <c r="L933" s="11" t="n">
        <f aca="false">D933*(1+G933)</f>
        <v>7575.6801123481</v>
      </c>
      <c r="M933" s="14" t="n">
        <v>0</v>
      </c>
      <c r="N933" s="4" t="n">
        <v>1</v>
      </c>
      <c r="O933" s="3" t="str">
        <f aca="false">IF(AND(B933=4,M933=1),IF(N933&lt;0.8,"Subgrupo 7 dias; fronteira de cluster","Subgrupo 7 dias"),IF(N933&lt;0.8,"Fronteira de cluster",""))</f>
        <v/>
      </c>
    </row>
    <row r="934" customFormat="false" ht="15" hidden="false" customHeight="false" outlineLevel="0" collapsed="false">
      <c r="A934" s="14" t="n">
        <v>933</v>
      </c>
      <c r="B934" s="14" t="n">
        <v>2</v>
      </c>
      <c r="C934" s="14" t="s">
        <v>31</v>
      </c>
      <c r="D934" s="15" t="n">
        <v>7331.47948717949</v>
      </c>
      <c r="E934" s="16" t="n">
        <f aca="false">INDEX(Parâmetros!$C$33:$C$37,MATCH(B934,Parâmetros!$A$33:$A$37,0))</f>
        <v>6324.80102695764</v>
      </c>
      <c r="F934" s="7" t="n">
        <f aca="false">MAX(0,(E934-D934)/D934)</f>
        <v>0</v>
      </c>
      <c r="G934" s="7" t="n">
        <f aca="false">MIN(K934*Parâmetros!$B$19,Parâmetros!$B$8)</f>
        <v>0.0244038339849275</v>
      </c>
      <c r="H934" s="3" t="str">
        <f aca="false">IF(F934&gt;=Parâmetros!$B$6,"Ação","Acompanhamento")</f>
        <v>Acompanhamento</v>
      </c>
      <c r="I934" s="17" t="n">
        <v>302.229299363057</v>
      </c>
      <c r="J934" s="11" t="n">
        <f aca="false">D934*I934</f>
        <v>2215787.90870488</v>
      </c>
      <c r="K934" s="7" t="n">
        <f aca="false">Parâmetros!$B$4+Parâmetros!$B$5*F934</f>
        <v>0.02</v>
      </c>
      <c r="L934" s="11" t="n">
        <f aca="false">D934*(1+G934)</f>
        <v>7510.39569544852</v>
      </c>
      <c r="M934" s="14" t="n">
        <v>0</v>
      </c>
      <c r="N934" s="4" t="n">
        <v>0.753086419753086</v>
      </c>
      <c r="O934" s="3" t="str">
        <f aca="false">IF(AND(B934=4,M934=1),IF(N934&lt;0.8,"Subgrupo 7 dias; fronteira de cluster","Subgrupo 7 dias"),IF(N934&lt;0.8,"Fronteira de cluster",""))</f>
        <v>Fronteira de cluster</v>
      </c>
    </row>
    <row r="935" customFormat="false" ht="15" hidden="false" customHeight="false" outlineLevel="0" collapsed="false">
      <c r="A935" s="14" t="n">
        <v>934</v>
      </c>
      <c r="B935" s="14" t="n">
        <v>1</v>
      </c>
      <c r="C935" s="14" t="s">
        <v>30</v>
      </c>
      <c r="D935" s="15" t="n">
        <v>6763.62002567394</v>
      </c>
      <c r="E935" s="16" t="n">
        <f aca="false">INDEX(Parâmetros!$C$33:$C$37,MATCH(B935,Parâmetros!$A$33:$A$37,0))</f>
        <v>6959.92435130262</v>
      </c>
      <c r="F935" s="7" t="n">
        <f aca="false">MAX(0,(E935-D935)/D935)</f>
        <v>0.0290235591123586</v>
      </c>
      <c r="G935" s="7" t="n">
        <f aca="false">MIN(K935*Parâmetros!$B$19,Parâmetros!$B$8)</f>
        <v>0.033257410462799</v>
      </c>
      <c r="H935" s="3" t="str">
        <f aca="false">IF(F935&gt;=Parâmetros!$B$6,"Ação","Acompanhamento")</f>
        <v>Acompanhamento</v>
      </c>
      <c r="I935" s="17" t="n">
        <v>301.841825902336</v>
      </c>
      <c r="J935" s="11" t="n">
        <f aca="false">D935*I935</f>
        <v>2041543.41825902</v>
      </c>
      <c r="K935" s="7" t="n">
        <f aca="false">Parâmetros!$B$4+Parâmetros!$B$5*F935</f>
        <v>0.0272558897780897</v>
      </c>
      <c r="L935" s="11" t="n">
        <f aca="false">D935*(1+G935)</f>
        <v>6988.56051308219</v>
      </c>
      <c r="M935" s="14" t="n">
        <v>0</v>
      </c>
      <c r="N935" s="4" t="n">
        <v>1</v>
      </c>
      <c r="O935" s="3" t="str">
        <f aca="false">IF(AND(B935=4,M935=1),IF(N935&lt;0.8,"Subgrupo 7 dias; fronteira de cluster","Subgrupo 7 dias"),IF(N935&lt;0.8,"Fronteira de cluster",""))</f>
        <v/>
      </c>
    </row>
    <row r="936" customFormat="false" ht="15" hidden="false" customHeight="false" outlineLevel="0" collapsed="false">
      <c r="A936" s="14" t="n">
        <v>935</v>
      </c>
      <c r="B936" s="14" t="n">
        <v>2</v>
      </c>
      <c r="C936" s="14" t="s">
        <v>31</v>
      </c>
      <c r="D936" s="15" t="n">
        <v>5650.70535714286</v>
      </c>
      <c r="E936" s="16" t="n">
        <f aca="false">INDEX(Parâmetros!$C$33:$C$37,MATCH(B936,Parâmetros!$A$33:$A$37,0))</f>
        <v>6324.80102695764</v>
      </c>
      <c r="F936" s="7" t="n">
        <f aca="false">MAX(0,(E936-D936)/D936)</f>
        <v>0.119294075201192</v>
      </c>
      <c r="G936" s="7" t="n">
        <f aca="false">MIN(K936*Parâmetros!$B$19,Parâmetros!$B$8)</f>
        <v>0.0607942440673693</v>
      </c>
      <c r="H936" s="3" t="str">
        <f aca="false">IF(F936&gt;=Parâmetros!$B$6,"Ação","Acompanhamento")</f>
        <v>Ação</v>
      </c>
      <c r="I936" s="17" t="n">
        <v>303.779193205945</v>
      </c>
      <c r="J936" s="11" t="n">
        <f aca="false">D936*I936</f>
        <v>1716566.71443737</v>
      </c>
      <c r="K936" s="7" t="n">
        <f aca="false">Parâmetros!$B$4+Parâmetros!$B$5*F936</f>
        <v>0.0498235188002981</v>
      </c>
      <c r="L936" s="11" t="n">
        <f aca="false">D936*(1+G936)</f>
        <v>5994.23571777779</v>
      </c>
      <c r="M936" s="14" t="n">
        <v>0</v>
      </c>
      <c r="N936" s="4" t="n">
        <v>0.891891891891892</v>
      </c>
      <c r="O936" s="3" t="str">
        <f aca="false">IF(AND(B936=4,M936=1),IF(N936&lt;0.8,"Subgrupo 7 dias; fronteira de cluster","Subgrupo 7 dias"),IF(N936&lt;0.8,"Fronteira de cluster",""))</f>
        <v/>
      </c>
    </row>
    <row r="937" customFormat="false" ht="15" hidden="false" customHeight="false" outlineLevel="0" collapsed="false">
      <c r="A937" s="14" t="n">
        <v>936</v>
      </c>
      <c r="B937" s="14" t="n">
        <v>4</v>
      </c>
      <c r="C937" s="14" t="s">
        <v>33</v>
      </c>
      <c r="D937" s="15" t="n">
        <v>7056.28498074455</v>
      </c>
      <c r="E937" s="16" t="n">
        <f aca="false">INDEX(Parâmetros!$C$33:$C$37,MATCH(B937,Parâmetros!$A$33:$A$37,0))</f>
        <v>8837.10512820513</v>
      </c>
      <c r="F937" s="7" t="n">
        <f aca="false">MAX(0,(E937-D937)/D937)</f>
        <v>0.252373614773235</v>
      </c>
      <c r="G937" s="7" t="n">
        <f aca="false">MIN(K937*Parâmetros!$B$19,Parâmetros!$B$8)</f>
        <v>0.101389881448703</v>
      </c>
      <c r="H937" s="3" t="str">
        <f aca="false">IF(F937&gt;=Parâmetros!$B$6,"Ação","Acompanhamento")</f>
        <v>Ação</v>
      </c>
      <c r="I937" s="17" t="n">
        <v>301.841825902336</v>
      </c>
      <c r="J937" s="11" t="n">
        <f aca="false">D937*I937</f>
        <v>2129881.94267516</v>
      </c>
      <c r="K937" s="7" t="n">
        <f aca="false">Parâmetros!$B$4+Parâmetros!$B$5*F937</f>
        <v>0.0830934036933086</v>
      </c>
      <c r="L937" s="11" t="n">
        <f aca="false">D937*(1+G937)</f>
        <v>7771.7208784105</v>
      </c>
      <c r="M937" s="14" t="n">
        <v>0</v>
      </c>
      <c r="N937" s="4" t="n">
        <v>1</v>
      </c>
      <c r="O937" s="3" t="str">
        <f aca="false">IF(AND(B937=4,M937=1),IF(N937&lt;0.8,"Subgrupo 7 dias; fronteira de cluster","Subgrupo 7 dias"),IF(N937&lt;0.8,"Fronteira de cluster",""))</f>
        <v/>
      </c>
    </row>
    <row r="938" customFormat="false" ht="15" hidden="false" customHeight="false" outlineLevel="0" collapsed="false">
      <c r="A938" s="14" t="n">
        <v>937</v>
      </c>
      <c r="B938" s="14" t="n">
        <v>1</v>
      </c>
      <c r="C938" s="14" t="s">
        <v>30</v>
      </c>
      <c r="D938" s="15" t="n">
        <v>7232.90012804097</v>
      </c>
      <c r="E938" s="16" t="n">
        <f aca="false">INDEX(Parâmetros!$C$33:$C$37,MATCH(B938,Parâmetros!$A$33:$A$37,0))</f>
        <v>6959.92435130262</v>
      </c>
      <c r="F938" s="7" t="n">
        <f aca="false">MAX(0,(E938-D938)/D938)</f>
        <v>0</v>
      </c>
      <c r="G938" s="7" t="n">
        <f aca="false">MIN(K938*Parâmetros!$B$19,Parâmetros!$B$8)</f>
        <v>0.0244038339849275</v>
      </c>
      <c r="H938" s="3" t="str">
        <f aca="false">IF(F938&gt;=Parâmetros!$B$6,"Ação","Acompanhamento")</f>
        <v>Acompanhamento</v>
      </c>
      <c r="I938" s="17" t="n">
        <v>302.616772823779</v>
      </c>
      <c r="J938" s="11" t="n">
        <f aca="false">D938*I938</f>
        <v>2188796.89490446</v>
      </c>
      <c r="K938" s="7" t="n">
        <f aca="false">Parâmetros!$B$4+Parâmetros!$B$5*F938</f>
        <v>0.02</v>
      </c>
      <c r="L938" s="11" t="n">
        <f aca="false">D938*(1+G938)</f>
        <v>7409.41062199525</v>
      </c>
      <c r="M938" s="14" t="n">
        <v>0</v>
      </c>
      <c r="N938" s="4" t="n">
        <v>1</v>
      </c>
      <c r="O938" s="3" t="str">
        <f aca="false">IF(AND(B938=4,M938=1),IF(N938&lt;0.8,"Subgrupo 7 dias; fronteira de cluster","Subgrupo 7 dias"),IF(N938&lt;0.8,"Fronteira de cluster",""))</f>
        <v/>
      </c>
    </row>
    <row r="939" customFormat="false" ht="15" hidden="false" customHeight="false" outlineLevel="0" collapsed="false">
      <c r="A939" s="14" t="n">
        <v>938</v>
      </c>
      <c r="B939" s="14" t="n">
        <v>4</v>
      </c>
      <c r="C939" s="14" t="s">
        <v>33</v>
      </c>
      <c r="D939" s="15" t="n">
        <v>9408.11479591837</v>
      </c>
      <c r="E939" s="16" t="n">
        <f aca="false">INDEX(Parâmetros!$C$33:$C$37,MATCH(B939,Parâmetros!$A$33:$A$37,0))</f>
        <v>8837.10512820513</v>
      </c>
      <c r="F939" s="7" t="n">
        <f aca="false">MAX(0,(E939-D939)/D939)</f>
        <v>0</v>
      </c>
      <c r="G939" s="7" t="n">
        <f aca="false">MIN(K939*Parâmetros!$B$19,Parâmetros!$B$8)</f>
        <v>0.0244038339849275</v>
      </c>
      <c r="H939" s="3" t="str">
        <f aca="false">IF(F939&gt;=Parâmetros!$B$6,"Ação","Acompanhamento")</f>
        <v>Acompanhamento</v>
      </c>
      <c r="I939" s="17" t="n">
        <v>303.779193205945</v>
      </c>
      <c r="J939" s="11" t="n">
        <f aca="false">D939*I939</f>
        <v>2857989.52229299</v>
      </c>
      <c r="K939" s="7" t="n">
        <f aca="false">Parâmetros!$B$4+Parâmetros!$B$5*F939</f>
        <v>0.02</v>
      </c>
      <c r="L939" s="11" t="n">
        <f aca="false">D939*(1+G939)</f>
        <v>9637.7088675091</v>
      </c>
      <c r="M939" s="14" t="n">
        <v>0</v>
      </c>
      <c r="N939" s="4" t="n">
        <v>0.988235294117647</v>
      </c>
      <c r="O939" s="3" t="str">
        <f aca="false">IF(AND(B939=4,M939=1),IF(N939&lt;0.8,"Subgrupo 7 dias; fronteira de cluster","Subgrupo 7 dias"),IF(N939&lt;0.8,"Fronteira de cluster",""))</f>
        <v/>
      </c>
    </row>
    <row r="940" customFormat="false" ht="15" hidden="false" customHeight="false" outlineLevel="0" collapsed="false">
      <c r="A940" s="14" t="n">
        <v>939</v>
      </c>
      <c r="B940" s="14" t="n">
        <v>1</v>
      </c>
      <c r="C940" s="14" t="s">
        <v>30</v>
      </c>
      <c r="D940" s="15" t="n">
        <v>5977.84980744544</v>
      </c>
      <c r="E940" s="16" t="n">
        <f aca="false">INDEX(Parâmetros!$C$33:$C$37,MATCH(B940,Parâmetros!$A$33:$A$37,0))</f>
        <v>6959.92435130262</v>
      </c>
      <c r="F940" s="7" t="n">
        <f aca="false">MAX(0,(E940-D940)/D940)</f>
        <v>0.164285583527709</v>
      </c>
      <c r="G940" s="7" t="n">
        <f aca="false">MIN(K940*Parâmetros!$B$19,Parâmetros!$B$8)</f>
        <v>0.0745188103165168</v>
      </c>
      <c r="H940" s="3" t="str">
        <f aca="false">IF(F940&gt;=Parâmetros!$B$6,"Ação","Acompanhamento")</f>
        <v>Ação</v>
      </c>
      <c r="I940" s="17" t="n">
        <v>301.841825902336</v>
      </c>
      <c r="J940" s="11" t="n">
        <f aca="false">D940*I940</f>
        <v>1804365.10084926</v>
      </c>
      <c r="K940" s="7" t="n">
        <f aca="false">Parâmetros!$B$4+Parâmetros!$B$5*F940</f>
        <v>0.0610713958819273</v>
      </c>
      <c r="L940" s="11" t="n">
        <f aca="false">D940*(1+G940)</f>
        <v>6423.3120633471</v>
      </c>
      <c r="M940" s="14" t="n">
        <v>0</v>
      </c>
      <c r="N940" s="4" t="n">
        <v>0.974025974025974</v>
      </c>
      <c r="O940" s="3" t="str">
        <f aca="false">IF(AND(B940=4,M940=1),IF(N940&lt;0.8,"Subgrupo 7 dias; fronteira de cluster","Subgrupo 7 dias"),IF(N940&lt;0.8,"Fronteira de cluster",""))</f>
        <v/>
      </c>
    </row>
    <row r="941" customFormat="false" ht="15" hidden="false" customHeight="false" outlineLevel="0" collapsed="false">
      <c r="A941" s="14" t="n">
        <v>940</v>
      </c>
      <c r="B941" s="14" t="n">
        <v>1</v>
      </c>
      <c r="C941" s="14" t="s">
        <v>30</v>
      </c>
      <c r="D941" s="15" t="n">
        <v>7252.59230769231</v>
      </c>
      <c r="E941" s="16" t="n">
        <f aca="false">INDEX(Parâmetros!$C$33:$C$37,MATCH(B941,Parâmetros!$A$33:$A$37,0))</f>
        <v>6959.92435130262</v>
      </c>
      <c r="F941" s="7" t="n">
        <f aca="false">MAX(0,(E941-D941)/D941)</f>
        <v>0</v>
      </c>
      <c r="G941" s="7" t="n">
        <f aca="false">MIN(K941*Parâmetros!$B$19,Parâmetros!$B$8)</f>
        <v>0.0244038339849275</v>
      </c>
      <c r="H941" s="3" t="str">
        <f aca="false">IF(F941&gt;=Parâmetros!$B$6,"Ação","Acompanhamento")</f>
        <v>Acompanhamento</v>
      </c>
      <c r="I941" s="17" t="n">
        <v>302.229299363057</v>
      </c>
      <c r="J941" s="11" t="n">
        <f aca="false">D941*I941</f>
        <v>2191945.89171975</v>
      </c>
      <c r="K941" s="7" t="n">
        <f aca="false">Parâmetros!$B$4+Parâmetros!$B$5*F941</f>
        <v>0.02</v>
      </c>
      <c r="L941" s="11" t="n">
        <f aca="false">D941*(1+G941)</f>
        <v>7429.58336632959</v>
      </c>
      <c r="M941" s="14" t="n">
        <v>0</v>
      </c>
      <c r="N941" s="4" t="n">
        <v>1</v>
      </c>
      <c r="O941" s="3" t="str">
        <f aca="false">IF(AND(B941=4,M941=1),IF(N941&lt;0.8,"Subgrupo 7 dias; fronteira de cluster","Subgrupo 7 dias"),IF(N941&lt;0.8,"Fronteira de cluster",""))</f>
        <v/>
      </c>
    </row>
    <row r="942" customFormat="false" ht="15" hidden="false" customHeight="false" outlineLevel="0" collapsed="false">
      <c r="A942" s="14" t="n">
        <v>941</v>
      </c>
      <c r="B942" s="14" t="n">
        <v>0</v>
      </c>
      <c r="C942" s="14" t="s">
        <v>29</v>
      </c>
      <c r="D942" s="15" t="n">
        <v>5030.63826366559</v>
      </c>
      <c r="E942" s="16" t="n">
        <f aca="false">INDEX(Parâmetros!$C$33:$C$37,MATCH(B942,Parâmetros!$A$33:$A$37,0))</f>
        <v>5476.37033462034</v>
      </c>
      <c r="F942" s="7" t="n">
        <f aca="false">MAX(0,(E942-D942)/D942)</f>
        <v>0.0886034828172988</v>
      </c>
      <c r="G942" s="7" t="n">
        <f aca="false">MIN(K942*Parâmetros!$B$19,Parâmetros!$B$8)</f>
        <v>0.0514321425494241</v>
      </c>
      <c r="H942" s="3" t="str">
        <f aca="false">IF(F942&gt;=Parâmetros!$B$6,"Ação","Acompanhamento")</f>
        <v>Acompanhamento</v>
      </c>
      <c r="I942" s="17" t="n">
        <v>299.511873350924</v>
      </c>
      <c r="J942" s="11" t="n">
        <f aca="false">D942*I942</f>
        <v>1506735.89050132</v>
      </c>
      <c r="K942" s="7" t="n">
        <f aca="false">Parâmetros!$B$4+Parâmetros!$B$5*F942</f>
        <v>0.0421508707043247</v>
      </c>
      <c r="L942" s="11" t="n">
        <f aca="false">D942*(1+G942)</f>
        <v>5289.37476795703</v>
      </c>
      <c r="M942" s="14" t="n">
        <v>0</v>
      </c>
      <c r="N942" s="4" t="n">
        <v>1</v>
      </c>
      <c r="O942" s="3" t="str">
        <f aca="false">IF(AND(B942=4,M942=1),IF(N942&lt;0.8,"Subgrupo 7 dias; fronteira de cluster","Subgrupo 7 dias"),IF(N942&lt;0.8,"Fronteira de cluster",""))</f>
        <v/>
      </c>
    </row>
    <row r="943" customFormat="false" ht="15" hidden="false" customHeight="false" outlineLevel="0" collapsed="false">
      <c r="A943" s="14" t="n">
        <v>942</v>
      </c>
      <c r="B943" s="14" t="n">
        <v>1</v>
      </c>
      <c r="C943" s="14" t="s">
        <v>30</v>
      </c>
      <c r="D943" s="15" t="n">
        <v>6058.36491677337</v>
      </c>
      <c r="E943" s="16" t="n">
        <f aca="false">INDEX(Parâmetros!$C$33:$C$37,MATCH(B943,Parâmetros!$A$33:$A$37,0))</f>
        <v>6959.92435130262</v>
      </c>
      <c r="F943" s="7" t="n">
        <f aca="false">MAX(0,(E943-D943)/D943)</f>
        <v>0.148812335822355</v>
      </c>
      <c r="G943" s="7" t="n">
        <f aca="false">MIN(K943*Parâmetros!$B$19,Parâmetros!$B$8)</f>
        <v>0.0697987282139028</v>
      </c>
      <c r="H943" s="3" t="str">
        <f aca="false">IF(F943&gt;=Parâmetros!$B$6,"Ação","Acompanhamento")</f>
        <v>Ação</v>
      </c>
      <c r="I943" s="17" t="n">
        <v>302.616772823779</v>
      </c>
      <c r="J943" s="11" t="n">
        <f aca="false">D943*I943</f>
        <v>1833362.83970276</v>
      </c>
      <c r="K943" s="7" t="n">
        <f aca="false">Parâmetros!$B$4+Parâmetros!$B$5*F943</f>
        <v>0.0572030839555888</v>
      </c>
      <c r="L943" s="11" t="n">
        <f aca="false">D943*(1+G943)</f>
        <v>6481.23108301988</v>
      </c>
      <c r="M943" s="14" t="n">
        <v>0</v>
      </c>
      <c r="N943" s="4" t="n">
        <v>1</v>
      </c>
      <c r="O943" s="3" t="str">
        <f aca="false">IF(AND(B943=4,M943=1),IF(N943&lt;0.8,"Subgrupo 7 dias; fronteira de cluster","Subgrupo 7 dias"),IF(N943&lt;0.8,"Fronteira de cluster",""))</f>
        <v/>
      </c>
    </row>
    <row r="944" customFormat="false" ht="15" hidden="false" customHeight="false" outlineLevel="0" collapsed="false">
      <c r="A944" s="14" t="n">
        <v>943</v>
      </c>
      <c r="B944" s="14" t="n">
        <v>1</v>
      </c>
      <c r="C944" s="14" t="s">
        <v>30</v>
      </c>
      <c r="D944" s="15" t="n">
        <v>6969.18356867779</v>
      </c>
      <c r="E944" s="16" t="n">
        <f aca="false">INDEX(Parâmetros!$C$33:$C$37,MATCH(B944,Parâmetros!$A$33:$A$37,0))</f>
        <v>6959.92435130262</v>
      </c>
      <c r="F944" s="7" t="n">
        <f aca="false">MAX(0,(E944-D944)/D944)</f>
        <v>0</v>
      </c>
      <c r="G944" s="7" t="n">
        <f aca="false">MIN(K944*Parâmetros!$B$19,Parâmetros!$B$8)</f>
        <v>0.0244038339849275</v>
      </c>
      <c r="H944" s="3" t="str">
        <f aca="false">IF(F944&gt;=Parâmetros!$B$6,"Ação","Acompanhamento")</f>
        <v>Acompanhamento</v>
      </c>
      <c r="I944" s="17" t="n">
        <v>301.841825902336</v>
      </c>
      <c r="J944" s="11" t="n">
        <f aca="false">D944*I944</f>
        <v>2103591.09341826</v>
      </c>
      <c r="K944" s="7" t="n">
        <f aca="false">Parâmetros!$B$4+Parâmetros!$B$5*F944</f>
        <v>0.02</v>
      </c>
      <c r="L944" s="11" t="n">
        <f aca="false">D944*(1+G944)</f>
        <v>7139.25836749829</v>
      </c>
      <c r="M944" s="14" t="n">
        <v>0</v>
      </c>
      <c r="N944" s="4" t="n">
        <v>1</v>
      </c>
      <c r="O944" s="3" t="str">
        <f aca="false">IF(AND(B944=4,M944=1),IF(N944&lt;0.8,"Subgrupo 7 dias; fronteira de cluster","Subgrupo 7 dias"),IF(N944&lt;0.8,"Fronteira de cluster",""))</f>
        <v/>
      </c>
    </row>
    <row r="945" customFormat="false" ht="15" hidden="false" customHeight="false" outlineLevel="0" collapsed="false">
      <c r="A945" s="14" t="n">
        <v>944</v>
      </c>
      <c r="B945" s="14" t="n">
        <v>2</v>
      </c>
      <c r="C945" s="14" t="s">
        <v>31</v>
      </c>
      <c r="D945" s="15" t="n">
        <v>7930.50765306122</v>
      </c>
      <c r="E945" s="16" t="n">
        <f aca="false">INDEX(Parâmetros!$C$33:$C$37,MATCH(B945,Parâmetros!$A$33:$A$37,0))</f>
        <v>6324.80102695764</v>
      </c>
      <c r="F945" s="7" t="n">
        <f aca="false">MAX(0,(E945-D945)/D945)</f>
        <v>0</v>
      </c>
      <c r="G945" s="7" t="n">
        <f aca="false">MIN(K945*Parâmetros!$B$19,Parâmetros!$B$8)</f>
        <v>0.0244038339849275</v>
      </c>
      <c r="H945" s="3" t="str">
        <f aca="false">IF(F945&gt;=Parâmetros!$B$6,"Ação","Acompanhamento")</f>
        <v>Acompanhamento</v>
      </c>
      <c r="I945" s="17" t="n">
        <v>303.779193205945</v>
      </c>
      <c r="J945" s="11" t="n">
        <f aca="false">D945*I945</f>
        <v>2409123.21656051</v>
      </c>
      <c r="K945" s="7" t="n">
        <f aca="false">Parâmetros!$B$4+Parâmetros!$B$5*F945</f>
        <v>0.02</v>
      </c>
      <c r="L945" s="11" t="n">
        <f aca="false">D945*(1+G945)</f>
        <v>8124.04244524273</v>
      </c>
      <c r="M945" s="14" t="n">
        <v>0</v>
      </c>
      <c r="N945" s="4" t="n">
        <v>1</v>
      </c>
      <c r="O945" s="3" t="str">
        <f aca="false">IF(AND(B945=4,M945=1),IF(N945&lt;0.8,"Subgrupo 7 dias; fronteira de cluster","Subgrupo 7 dias"),IF(N945&lt;0.8,"Fronteira de cluster",""))</f>
        <v/>
      </c>
    </row>
    <row r="946" customFormat="false" ht="15" hidden="false" customHeight="false" outlineLevel="0" collapsed="false">
      <c r="A946" s="14" t="n">
        <v>945</v>
      </c>
      <c r="B946" s="14" t="n">
        <v>1</v>
      </c>
      <c r="C946" s="14" t="s">
        <v>30</v>
      </c>
      <c r="D946" s="15" t="n">
        <v>4374.95535714286</v>
      </c>
      <c r="E946" s="16" t="n">
        <f aca="false">INDEX(Parâmetros!$C$33:$C$37,MATCH(B946,Parâmetros!$A$33:$A$37,0))</f>
        <v>6959.92435130262</v>
      </c>
      <c r="F946" s="7" t="n">
        <f aca="false">MAX(0,(E946-D946)/D946)</f>
        <v>0.59085608495167</v>
      </c>
      <c r="G946" s="7" t="n">
        <f aca="false">MIN(K946*Parâmetros!$B$19,Parâmetros!$B$8)</f>
        <v>0.2</v>
      </c>
      <c r="H946" s="3" t="str">
        <f aca="false">IF(F946&gt;=Parâmetros!$B$6,"Ação","Acompanhamento")</f>
        <v>Ação</v>
      </c>
      <c r="I946" s="17" t="n">
        <v>303.779193205945</v>
      </c>
      <c r="J946" s="11" t="n">
        <f aca="false">D946*I946</f>
        <v>1329020.40870488</v>
      </c>
      <c r="K946" s="7" t="n">
        <f aca="false">Parâmetros!$B$4+Parâmetros!$B$5*F946</f>
        <v>0.167714021237918</v>
      </c>
      <c r="L946" s="11" t="n">
        <f aca="false">D946*(1+G946)</f>
        <v>5249.94642857143</v>
      </c>
      <c r="M946" s="14" t="n">
        <v>0</v>
      </c>
      <c r="N946" s="4" t="n">
        <v>0.784810126582278</v>
      </c>
      <c r="O946" s="3" t="str">
        <f aca="false">IF(AND(B946=4,M946=1),IF(N946&lt;0.8,"Subgrupo 7 dias; fronteira de cluster","Subgrupo 7 dias"),IF(N946&lt;0.8,"Fronteira de cluster",""))</f>
        <v>Fronteira de cluster</v>
      </c>
    </row>
    <row r="947" customFormat="false" ht="15" hidden="false" customHeight="false" outlineLevel="0" collapsed="false">
      <c r="A947" s="14" t="n">
        <v>946</v>
      </c>
      <c r="B947" s="14" t="n">
        <v>0</v>
      </c>
      <c r="C947" s="14" t="s">
        <v>29</v>
      </c>
      <c r="D947" s="15" t="n">
        <v>4203.42747111682</v>
      </c>
      <c r="E947" s="16" t="n">
        <f aca="false">INDEX(Parâmetros!$C$33:$C$37,MATCH(B947,Parâmetros!$A$33:$A$37,0))</f>
        <v>5476.37033462034</v>
      </c>
      <c r="F947" s="7" t="n">
        <f aca="false">MAX(0,(E947-D947)/D947)</f>
        <v>0.302834501665687</v>
      </c>
      <c r="G947" s="7" t="n">
        <f aca="false">MIN(K947*Parâmetros!$B$19,Parâmetros!$B$8)</f>
        <v>0.116782870279398</v>
      </c>
      <c r="H947" s="3" t="str">
        <f aca="false">IF(F947&gt;=Parâmetros!$B$6,"Ação","Acompanhamento")</f>
        <v>Ação</v>
      </c>
      <c r="I947" s="17" t="n">
        <v>301.841825902336</v>
      </c>
      <c r="J947" s="11" t="n">
        <f aca="false">D947*I947</f>
        <v>1268770.22292994</v>
      </c>
      <c r="K947" s="7" t="n">
        <f aca="false">Parâmetros!$B$4+Parâmetros!$B$5*F947</f>
        <v>0.0957086254164217</v>
      </c>
      <c r="L947" s="11" t="n">
        <f aca="false">D947*(1+G947)</f>
        <v>4694.31579620511</v>
      </c>
      <c r="M947" s="14" t="n">
        <v>0</v>
      </c>
      <c r="N947" s="4" t="n">
        <v>1</v>
      </c>
      <c r="O947" s="3" t="str">
        <f aca="false">IF(AND(B947=4,M947=1),IF(N947&lt;0.8,"Subgrupo 7 dias; fronteira de cluster","Subgrupo 7 dias"),IF(N947&lt;0.8,"Fronteira de cluster",""))</f>
        <v/>
      </c>
    </row>
    <row r="948" customFormat="false" ht="15" hidden="false" customHeight="false" outlineLevel="0" collapsed="false">
      <c r="A948" s="14" t="n">
        <v>947</v>
      </c>
      <c r="B948" s="14" t="n">
        <v>4</v>
      </c>
      <c r="C948" s="14" t="s">
        <v>33</v>
      </c>
      <c r="D948" s="15" t="n">
        <v>8392.39818417639</v>
      </c>
      <c r="E948" s="16" t="n">
        <f aca="false">INDEX(Parâmetros!$C$33:$C$37,MATCH(B948,Parâmetros!$A$33:$A$37,0))</f>
        <v>8837.10512820513</v>
      </c>
      <c r="F948" s="7" t="n">
        <f aca="false">MAX(0,(E948-D948)/D948)</f>
        <v>0.0529892569762973</v>
      </c>
      <c r="G948" s="7" t="n">
        <f aca="false">MIN(K948*Parâmetros!$B$19,Parâmetros!$B$8)</f>
        <v>0.0405680968628552</v>
      </c>
      <c r="H948" s="3" t="str">
        <f aca="false">IF(F948&gt;=Parâmetros!$B$6,"Ação","Acompanhamento")</f>
        <v>Acompanhamento</v>
      </c>
      <c r="I948" s="17" t="n">
        <v>298.742038216561</v>
      </c>
      <c r="J948" s="11" t="n">
        <f aca="false">D948*I948</f>
        <v>2507162.13906582</v>
      </c>
      <c r="K948" s="7" t="n">
        <f aca="false">Parâmetros!$B$4+Parâmetros!$B$5*F948</f>
        <v>0.0332473142440743</v>
      </c>
      <c r="L948" s="11" t="n">
        <f aca="false">D948*(1+G948)</f>
        <v>8732.86180662371</v>
      </c>
      <c r="M948" s="14" t="n">
        <v>0</v>
      </c>
      <c r="N948" s="4" t="n">
        <v>1</v>
      </c>
      <c r="O948" s="3" t="str">
        <f aca="false">IF(AND(B948=4,M948=1),IF(N948&lt;0.8,"Subgrupo 7 dias; fronteira de cluster","Subgrupo 7 dias"),IF(N948&lt;0.8,"Fronteira de cluster",""))</f>
        <v/>
      </c>
    </row>
    <row r="949" customFormat="false" ht="15" hidden="false" customHeight="false" outlineLevel="0" collapsed="false">
      <c r="A949" s="14" t="n">
        <v>948</v>
      </c>
      <c r="B949" s="14" t="n">
        <v>4</v>
      </c>
      <c r="C949" s="14" t="s">
        <v>33</v>
      </c>
      <c r="D949" s="15" t="n">
        <v>6944.24379719525</v>
      </c>
      <c r="E949" s="16" t="n">
        <f aca="false">INDEX(Parâmetros!$C$33:$C$37,MATCH(B949,Parâmetros!$A$33:$A$37,0))</f>
        <v>8837.10512820513</v>
      </c>
      <c r="F949" s="7" t="n">
        <f aca="false">MAX(0,(E949-D949)/D949)</f>
        <v>0.27257990737226</v>
      </c>
      <c r="G949" s="7" t="n">
        <f aca="false">MIN(K949*Parâmetros!$B$19,Parâmetros!$B$8)</f>
        <v>0.107553769074172</v>
      </c>
      <c r="H949" s="3" t="str">
        <f aca="false">IF(F949&gt;=Parâmetros!$B$6,"Ação","Acompanhamento")</f>
        <v>Ação</v>
      </c>
      <c r="I949" s="17" t="n">
        <v>359.575371549894</v>
      </c>
      <c r="J949" s="11" t="n">
        <f aca="false">D949*I949</f>
        <v>2496979.04350953</v>
      </c>
      <c r="K949" s="7" t="n">
        <f aca="false">Parâmetros!$B$4+Parâmetros!$B$5*F949</f>
        <v>0.0881449768430651</v>
      </c>
      <c r="L949" s="11" t="n">
        <f aca="false">D949*(1+G949)</f>
        <v>7691.12339095354</v>
      </c>
      <c r="M949" s="14" t="n">
        <v>1</v>
      </c>
      <c r="N949" s="4" t="n">
        <v>0.942528735632184</v>
      </c>
      <c r="O949" s="3" t="str">
        <f aca="false">IF(AND(B949=4,M949=1),IF(N949&lt;0.8,"Subgrupo 7 dias; fronteira de cluster","Subgrupo 7 dias"),IF(N949&lt;0.8,"Fronteira de cluster",""))</f>
        <v>Subgrupo 7 dias</v>
      </c>
    </row>
    <row r="950" customFormat="false" ht="15" hidden="false" customHeight="false" outlineLevel="0" collapsed="false">
      <c r="A950" s="14" t="n">
        <v>949</v>
      </c>
      <c r="B950" s="14" t="n">
        <v>3</v>
      </c>
      <c r="C950" s="14" t="s">
        <v>32</v>
      </c>
      <c r="D950" s="15" t="n">
        <v>5350.00637755102</v>
      </c>
      <c r="E950" s="16" t="n">
        <f aca="false">INDEX(Parâmetros!$C$33:$C$37,MATCH(B950,Parâmetros!$A$33:$A$37,0))</f>
        <v>5909.24487179487</v>
      </c>
      <c r="F950" s="7" t="n">
        <f aca="false">MAX(0,(E950-D950)/D950)</f>
        <v>0.104530435064611</v>
      </c>
      <c r="G950" s="7" t="n">
        <f aca="false">MIN(K950*Parâmetros!$B$19,Parâmetros!$B$8)</f>
        <v>0.05629062628104</v>
      </c>
      <c r="H950" s="3" t="str">
        <f aca="false">IF(F950&gt;=Parâmetros!$B$6,"Ação","Acompanhamento")</f>
        <v>Ação</v>
      </c>
      <c r="I950" s="17" t="n">
        <v>303.779193205945</v>
      </c>
      <c r="J950" s="11" t="n">
        <f aca="false">D950*I950</f>
        <v>1625220.62101911</v>
      </c>
      <c r="K950" s="7" t="n">
        <f aca="false">Parâmetros!$B$4+Parâmetros!$B$5*F950</f>
        <v>0.0461326087661527</v>
      </c>
      <c r="L950" s="11" t="n">
        <f aca="false">D950*(1+G950)</f>
        <v>5651.16158715093</v>
      </c>
      <c r="M950" s="14" t="n">
        <v>0</v>
      </c>
      <c r="N950" s="4" t="n">
        <v>0.925</v>
      </c>
      <c r="O950" s="3" t="str">
        <f aca="false">IF(AND(B950=4,M950=1),IF(N950&lt;0.8,"Subgrupo 7 dias; fronteira de cluster","Subgrupo 7 dias"),IF(N950&lt;0.8,"Fronteira de cluster",""))</f>
        <v/>
      </c>
    </row>
    <row r="951" customFormat="false" ht="15" hidden="false" customHeight="false" outlineLevel="0" collapsed="false">
      <c r="A951" s="14" t="n">
        <v>950</v>
      </c>
      <c r="B951" s="14" t="n">
        <v>1</v>
      </c>
      <c r="C951" s="14" t="s">
        <v>30</v>
      </c>
      <c r="D951" s="15" t="n">
        <v>5742.31741935484</v>
      </c>
      <c r="E951" s="16" t="n">
        <f aca="false">INDEX(Parâmetros!$C$33:$C$37,MATCH(B951,Parâmetros!$A$33:$A$37,0))</f>
        <v>6959.92435130262</v>
      </c>
      <c r="F951" s="7" t="n">
        <f aca="false">MAX(0,(E951-D951)/D951)</f>
        <v>0.212041035531015</v>
      </c>
      <c r="G951" s="7" t="n">
        <f aca="false">MIN(K951*Parâmetros!$B$19,Parâmetros!$B$8)</f>
        <v>0.0890865118485647</v>
      </c>
      <c r="H951" s="3" t="str">
        <f aca="false">IF(F951&gt;=Parâmetros!$B$6,"Ação","Acompanhamento")</f>
        <v>Ação</v>
      </c>
      <c r="I951" s="17" t="n">
        <v>300.291932059448</v>
      </c>
      <c r="J951" s="11" t="n">
        <f aca="false">D951*I951</f>
        <v>1724371.59235669</v>
      </c>
      <c r="K951" s="7" t="n">
        <f aca="false">Parâmetros!$B$4+Parâmetros!$B$5*F951</f>
        <v>0.0730102588827536</v>
      </c>
      <c r="L951" s="11" t="n">
        <f aca="false">D951*(1+G951)</f>
        <v>6253.88044817241</v>
      </c>
      <c r="M951" s="14" t="n">
        <v>0</v>
      </c>
      <c r="N951" s="4" t="n">
        <v>0.961538461538462</v>
      </c>
      <c r="O951" s="3" t="str">
        <f aca="false">IF(AND(B951=4,M951=1),IF(N951&lt;0.8,"Subgrupo 7 dias; fronteira de cluster","Subgrupo 7 dias"),IF(N951&lt;0.8,"Fronteira de cluster",""))</f>
        <v/>
      </c>
    </row>
    <row r="952" customFormat="false" ht="15" hidden="false" customHeight="false" outlineLevel="0" collapsed="false">
      <c r="A952" s="14" t="n">
        <v>951</v>
      </c>
      <c r="B952" s="14" t="n">
        <v>1</v>
      </c>
      <c r="C952" s="14" t="s">
        <v>30</v>
      </c>
      <c r="D952" s="15" t="n">
        <v>7776.97946084724</v>
      </c>
      <c r="E952" s="16" t="n">
        <f aca="false">INDEX(Parâmetros!$C$33:$C$37,MATCH(B952,Parâmetros!$A$33:$A$37,0))</f>
        <v>6959.92435130262</v>
      </c>
      <c r="F952" s="7" t="n">
        <f aca="false">MAX(0,(E952-D952)/D952)</f>
        <v>0</v>
      </c>
      <c r="G952" s="7" t="n">
        <f aca="false">MIN(K952*Parâmetros!$B$19,Parâmetros!$B$8)</f>
        <v>0.0244038339849275</v>
      </c>
      <c r="H952" s="3" t="str">
        <f aca="false">IF(F952&gt;=Parâmetros!$B$6,"Ação","Acompanhamento")</f>
        <v>Acompanhamento</v>
      </c>
      <c r="I952" s="17" t="n">
        <v>301.841825902336</v>
      </c>
      <c r="J952" s="11" t="n">
        <f aca="false">D952*I952</f>
        <v>2347417.68046709</v>
      </c>
      <c r="K952" s="7" t="n">
        <f aca="false">Parâmetros!$B$4+Parâmetros!$B$5*F952</f>
        <v>0.02</v>
      </c>
      <c r="L952" s="11" t="n">
        <f aca="false">D952*(1+G952)</f>
        <v>7966.76757651395</v>
      </c>
      <c r="M952" s="14" t="n">
        <v>0</v>
      </c>
      <c r="N952" s="4" t="n">
        <v>1</v>
      </c>
      <c r="O952" s="3" t="str">
        <f aca="false">IF(AND(B952=4,M952=1),IF(N952&lt;0.8,"Subgrupo 7 dias; fronteira de cluster","Subgrupo 7 dias"),IF(N952&lt;0.8,"Fronteira de cluster",""))</f>
        <v/>
      </c>
    </row>
    <row r="953" customFormat="false" ht="15" hidden="false" customHeight="false" outlineLevel="0" collapsed="false">
      <c r="A953" s="14" t="n">
        <v>952</v>
      </c>
      <c r="B953" s="14" t="n">
        <v>1</v>
      </c>
      <c r="C953" s="14" t="s">
        <v>30</v>
      </c>
      <c r="D953" s="15" t="n">
        <v>6568.04823151125</v>
      </c>
      <c r="E953" s="16" t="n">
        <f aca="false">INDEX(Parâmetros!$C$33:$C$37,MATCH(B953,Parâmetros!$A$33:$A$37,0))</f>
        <v>6959.92435130262</v>
      </c>
      <c r="F953" s="7" t="n">
        <f aca="false">MAX(0,(E953-D953)/D953)</f>
        <v>0.0596640137189126</v>
      </c>
      <c r="G953" s="7" t="n">
        <f aca="false">MIN(K953*Parâmetros!$B$19,Parâmetros!$B$8)</f>
        <v>0.0426042175558122</v>
      </c>
      <c r="H953" s="3" t="str">
        <f aca="false">IF(F953&gt;=Parâmetros!$B$6,"Ação","Acompanhamento")</f>
        <v>Acompanhamento</v>
      </c>
      <c r="I953" s="17" t="n">
        <v>299.511873350924</v>
      </c>
      <c r="J953" s="11" t="n">
        <f aca="false">D953*I953</f>
        <v>1967208.43007916</v>
      </c>
      <c r="K953" s="7" t="n">
        <f aca="false">Parâmetros!$B$4+Parâmetros!$B$5*F953</f>
        <v>0.0349160034297282</v>
      </c>
      <c r="L953" s="11" t="n">
        <f aca="false">D953*(1+G953)</f>
        <v>6847.87478728363</v>
      </c>
      <c r="M953" s="14" t="n">
        <v>0</v>
      </c>
      <c r="N953" s="4" t="n">
        <v>1</v>
      </c>
      <c r="O953" s="3" t="str">
        <f aca="false">IF(AND(B953=4,M953=1),IF(N953&lt;0.8,"Subgrupo 7 dias; fronteira de cluster","Subgrupo 7 dias"),IF(N953&lt;0.8,"Fronteira de cluster",""))</f>
        <v/>
      </c>
    </row>
    <row r="954" customFormat="false" ht="15" hidden="false" customHeight="false" outlineLevel="0" collapsed="false">
      <c r="A954" s="14" t="n">
        <v>953</v>
      </c>
      <c r="B954" s="14" t="n">
        <v>3</v>
      </c>
      <c r="C954" s="14" t="s">
        <v>32</v>
      </c>
      <c r="D954" s="15" t="n">
        <v>5323.45524296675</v>
      </c>
      <c r="E954" s="16" t="n">
        <f aca="false">INDEX(Parâmetros!$C$33:$C$37,MATCH(B954,Parâmetros!$A$33:$A$37,0))</f>
        <v>5909.24487179487</v>
      </c>
      <c r="F954" s="7" t="n">
        <f aca="false">MAX(0,(E954-D954)/D954)</f>
        <v>0.110039363926663</v>
      </c>
      <c r="G954" s="7" t="n">
        <f aca="false">MIN(K954*Parâmetros!$B$19,Parâmetros!$B$8)</f>
        <v>0.0579711135983436</v>
      </c>
      <c r="H954" s="3" t="str">
        <f aca="false">IF(F954&gt;=Parâmetros!$B$6,"Ação","Acompanhamento")</f>
        <v>Ação</v>
      </c>
      <c r="I954" s="17" t="n">
        <v>303.004246284501</v>
      </c>
      <c r="J954" s="11" t="n">
        <f aca="false">D954*I954</f>
        <v>1613029.54352442</v>
      </c>
      <c r="K954" s="7" t="n">
        <f aca="false">Parâmetros!$B$4+Parâmetros!$B$5*F954</f>
        <v>0.0475098409816657</v>
      </c>
      <c r="L954" s="11" t="n">
        <f aca="false">D954*(1+G954)</f>
        <v>5632.06187159248</v>
      </c>
      <c r="M954" s="14" t="n">
        <v>0</v>
      </c>
      <c r="N954" s="4" t="n">
        <v>1</v>
      </c>
      <c r="O954" s="3" t="str">
        <f aca="false">IF(AND(B954=4,M954=1),IF(N954&lt;0.8,"Subgrupo 7 dias; fronteira de cluster","Subgrupo 7 dias"),IF(N954&lt;0.8,"Fronteira de cluster",""))</f>
        <v/>
      </c>
    </row>
    <row r="955" customFormat="false" ht="15" hidden="false" customHeight="false" outlineLevel="0" collapsed="false">
      <c r="A955" s="14" t="n">
        <v>954</v>
      </c>
      <c r="B955" s="14" t="n">
        <v>0</v>
      </c>
      <c r="C955" s="14" t="s">
        <v>29</v>
      </c>
      <c r="D955" s="15" t="n">
        <v>6966.04878048781</v>
      </c>
      <c r="E955" s="16" t="n">
        <f aca="false">INDEX(Parâmetros!$C$33:$C$37,MATCH(B955,Parâmetros!$A$33:$A$37,0))</f>
        <v>5476.37033462034</v>
      </c>
      <c r="F955" s="7" t="n">
        <f aca="false">MAX(0,(E955-D955)/D955)</f>
        <v>0</v>
      </c>
      <c r="G955" s="7" t="n">
        <f aca="false">MIN(K955*Parâmetros!$B$19,Parâmetros!$B$8)</f>
        <v>0.0244038339849275</v>
      </c>
      <c r="H955" s="3" t="str">
        <f aca="false">IF(F955&gt;=Parâmetros!$B$6,"Ação","Acompanhamento")</f>
        <v>Acompanhamento</v>
      </c>
      <c r="I955" s="17" t="n">
        <v>301.841825902336</v>
      </c>
      <c r="J955" s="11" t="n">
        <f aca="false">D955*I955</f>
        <v>2102644.88322718</v>
      </c>
      <c r="K955" s="7" t="n">
        <f aca="false">Parâmetros!$B$4+Parâmetros!$B$5*F955</f>
        <v>0.02</v>
      </c>
      <c r="L955" s="11" t="n">
        <f aca="false">D955*(1+G955)</f>
        <v>7136.04707845774</v>
      </c>
      <c r="M955" s="14" t="n">
        <v>0</v>
      </c>
      <c r="N955" s="4" t="n">
        <v>0.975308641975309</v>
      </c>
      <c r="O955" s="3" t="str">
        <f aca="false">IF(AND(B955=4,M955=1),IF(N955&lt;0.8,"Subgrupo 7 dias; fronteira de cluster","Subgrupo 7 dias"),IF(N955&lt;0.8,"Fronteira de cluster",""))</f>
        <v/>
      </c>
    </row>
    <row r="956" customFormat="false" ht="15" hidden="false" customHeight="false" outlineLevel="0" collapsed="false">
      <c r="A956" s="14" t="n">
        <v>955</v>
      </c>
      <c r="B956" s="14" t="n">
        <v>0</v>
      </c>
      <c r="C956" s="14" t="s">
        <v>29</v>
      </c>
      <c r="D956" s="15" t="n">
        <v>4719.54942233633</v>
      </c>
      <c r="E956" s="16" t="n">
        <f aca="false">INDEX(Parâmetros!$C$33:$C$37,MATCH(B956,Parâmetros!$A$33:$A$37,0))</f>
        <v>5476.37033462034</v>
      </c>
      <c r="F956" s="7" t="n">
        <f aca="false">MAX(0,(E956-D956)/D956)</f>
        <v>0.160358721682664</v>
      </c>
      <c r="G956" s="7" t="n">
        <f aca="false">MIN(K956*Parâmetros!$B$19,Parâmetros!$B$8)</f>
        <v>0.0733209292596638</v>
      </c>
      <c r="H956" s="3" t="str">
        <f aca="false">IF(F956&gt;=Parâmetros!$B$6,"Ação","Acompanhamento")</f>
        <v>Ação</v>
      </c>
      <c r="I956" s="17" t="n">
        <v>301.841825902336</v>
      </c>
      <c r="J956" s="11" t="n">
        <f aca="false">D956*I956</f>
        <v>1424557.41507431</v>
      </c>
      <c r="K956" s="7" t="n">
        <f aca="false">Parâmetros!$B$4+Parâmetros!$B$5*F956</f>
        <v>0.0600896804206659</v>
      </c>
      <c r="L956" s="11" t="n">
        <f aca="false">D956*(1+G956)</f>
        <v>5065.59117166894</v>
      </c>
      <c r="M956" s="14" t="n">
        <v>0</v>
      </c>
      <c r="N956" s="4" t="n">
        <v>0.72289156626506</v>
      </c>
      <c r="O956" s="3" t="str">
        <f aca="false">IF(AND(B956=4,M956=1),IF(N956&lt;0.8,"Subgrupo 7 dias; fronteira de cluster","Subgrupo 7 dias"),IF(N956&lt;0.8,"Fronteira de cluster",""))</f>
        <v>Fronteira de cluster</v>
      </c>
    </row>
    <row r="957" customFormat="false" ht="15" hidden="false" customHeight="false" outlineLevel="0" collapsed="false">
      <c r="A957" s="14" t="n">
        <v>956</v>
      </c>
      <c r="B957" s="14" t="n">
        <v>3</v>
      </c>
      <c r="C957" s="14" t="s">
        <v>32</v>
      </c>
      <c r="D957" s="15" t="n">
        <v>3855.91237113402</v>
      </c>
      <c r="E957" s="16" t="n">
        <f aca="false">INDEX(Parâmetros!$C$33:$C$37,MATCH(B957,Parâmetros!$A$33:$A$37,0))</f>
        <v>5909.24487179487</v>
      </c>
      <c r="F957" s="7" t="n">
        <f aca="false">MAX(0,(E957-D957)/D957)</f>
        <v>0.53251534345864</v>
      </c>
      <c r="G957" s="7" t="n">
        <f aca="false">MIN(K957*Parâmetros!$B$19,Parâmetros!$B$8)</f>
        <v>0.186846534437318</v>
      </c>
      <c r="H957" s="3" t="str">
        <f aca="false">IF(F957&gt;=Parâmetros!$B$6,"Ação","Acompanhamento")</f>
        <v>Ação</v>
      </c>
      <c r="I957" s="17" t="n">
        <v>300.67940552017</v>
      </c>
      <c r="J957" s="11" t="n">
        <f aca="false">D957*I957</f>
        <v>1159393.43949045</v>
      </c>
      <c r="K957" s="7" t="n">
        <f aca="false">Parâmetros!$B$4+Parâmetros!$B$5*F957</f>
        <v>0.15312883586466</v>
      </c>
      <c r="L957" s="11" t="n">
        <f aca="false">D957*(1+G957)</f>
        <v>4576.3762347744</v>
      </c>
      <c r="M957" s="14" t="n">
        <v>0</v>
      </c>
      <c r="N957" s="4" t="n">
        <v>0.717647058823529</v>
      </c>
      <c r="O957" s="3" t="str">
        <f aca="false">IF(AND(B957=4,M957=1),IF(N957&lt;0.8,"Subgrupo 7 dias; fronteira de cluster","Subgrupo 7 dias"),IF(N957&lt;0.8,"Fronteira de cluster",""))</f>
        <v>Fronteira de cluster</v>
      </c>
    </row>
    <row r="958" customFormat="false" ht="15" hidden="false" customHeight="false" outlineLevel="0" collapsed="false">
      <c r="A958" s="14" t="n">
        <v>957</v>
      </c>
      <c r="B958" s="14" t="n">
        <v>3</v>
      </c>
      <c r="C958" s="14" t="s">
        <v>32</v>
      </c>
      <c r="D958" s="15" t="n">
        <v>7898.88520408163</v>
      </c>
      <c r="E958" s="16" t="n">
        <f aca="false">INDEX(Parâmetros!$C$33:$C$37,MATCH(B958,Parâmetros!$A$33:$A$37,0))</f>
        <v>5909.24487179487</v>
      </c>
      <c r="F958" s="7" t="n">
        <f aca="false">MAX(0,(E958-D958)/D958)</f>
        <v>0</v>
      </c>
      <c r="G958" s="7" t="n">
        <f aca="false">MIN(K958*Parâmetros!$B$19,Parâmetros!$B$8)</f>
        <v>0.0244038339849275</v>
      </c>
      <c r="H958" s="3" t="str">
        <f aca="false">IF(F958&gt;=Parâmetros!$B$6,"Ação","Acompanhamento")</f>
        <v>Acompanhamento</v>
      </c>
      <c r="I958" s="17" t="n">
        <v>303.779193205945</v>
      </c>
      <c r="J958" s="11" t="n">
        <f aca="false">D958*I958</f>
        <v>2399516.97452229</v>
      </c>
      <c r="K958" s="7" t="n">
        <f aca="false">Parâmetros!$B$4+Parâmetros!$B$5*F958</f>
        <v>0.02</v>
      </c>
      <c r="L958" s="11" t="n">
        <f aca="false">D958*(1+G958)</f>
        <v>8091.64828726804</v>
      </c>
      <c r="M958" s="14" t="n">
        <v>0</v>
      </c>
      <c r="N958" s="4" t="n">
        <v>0.697368421052632</v>
      </c>
      <c r="O958" s="3" t="str">
        <f aca="false">IF(AND(B958=4,M958=1),IF(N958&lt;0.8,"Subgrupo 7 dias; fronteira de cluster","Subgrupo 7 dias"),IF(N958&lt;0.8,"Fronteira de cluster",""))</f>
        <v>Fronteira de cluster</v>
      </c>
    </row>
    <row r="959" customFormat="false" ht="15" hidden="false" customHeight="false" outlineLevel="0" collapsed="false">
      <c r="A959" s="14" t="n">
        <v>958</v>
      </c>
      <c r="B959" s="14" t="n">
        <v>0</v>
      </c>
      <c r="C959" s="14" t="s">
        <v>29</v>
      </c>
      <c r="D959" s="15" t="n">
        <v>4244.43239795918</v>
      </c>
      <c r="E959" s="16" t="n">
        <f aca="false">INDEX(Parâmetros!$C$33:$C$37,MATCH(B959,Parâmetros!$A$33:$A$37,0))</f>
        <v>5476.37033462034</v>
      </c>
      <c r="F959" s="7" t="n">
        <f aca="false">MAX(0,(E959-D959)/D959)</f>
        <v>0.290247981627295</v>
      </c>
      <c r="G959" s="7" t="n">
        <f aca="false">MIN(K959*Parâmetros!$B$19,Parâmetros!$B$8)</f>
        <v>0.112943378461087</v>
      </c>
      <c r="H959" s="3" t="str">
        <f aca="false">IF(F959&gt;=Parâmetros!$B$6,"Ação","Acompanhamento")</f>
        <v>Ação</v>
      </c>
      <c r="I959" s="17" t="n">
        <v>303.779193205945</v>
      </c>
      <c r="J959" s="11" t="n">
        <f aca="false">D959*I959</f>
        <v>1289370.24946921</v>
      </c>
      <c r="K959" s="7" t="n">
        <f aca="false">Parâmetros!$B$4+Parâmetros!$B$5*F959</f>
        <v>0.0925619954068237</v>
      </c>
      <c r="L959" s="11" t="n">
        <f aca="false">D959*(1+G959)</f>
        <v>4723.81293263439</v>
      </c>
      <c r="M959" s="14" t="n">
        <v>0</v>
      </c>
      <c r="N959" s="4" t="n">
        <v>0.908045977011494</v>
      </c>
      <c r="O959" s="3" t="str">
        <f aca="false">IF(AND(B959=4,M959=1),IF(N959&lt;0.8,"Subgrupo 7 dias; fronteira de cluster","Subgrupo 7 dias"),IF(N959&lt;0.8,"Fronteira de cluster",""))</f>
        <v/>
      </c>
    </row>
    <row r="960" customFormat="false" ht="15" hidden="false" customHeight="false" outlineLevel="0" collapsed="false">
      <c r="A960" s="14" t="n">
        <v>959</v>
      </c>
      <c r="B960" s="14" t="n">
        <v>0</v>
      </c>
      <c r="C960" s="14" t="s">
        <v>29</v>
      </c>
      <c r="D960" s="15" t="n">
        <v>7051.43494897959</v>
      </c>
      <c r="E960" s="16" t="n">
        <f aca="false">INDEX(Parâmetros!$C$33:$C$37,MATCH(B960,Parâmetros!$A$33:$A$37,0))</f>
        <v>5476.37033462034</v>
      </c>
      <c r="F960" s="7" t="n">
        <f aca="false">MAX(0,(E960-D960)/D960)</f>
        <v>0</v>
      </c>
      <c r="G960" s="7" t="n">
        <f aca="false">MIN(K960*Parâmetros!$B$19,Parâmetros!$B$8)</f>
        <v>0.0244038339849275</v>
      </c>
      <c r="H960" s="3" t="str">
        <f aca="false">IF(F960&gt;=Parâmetros!$B$6,"Ação","Acompanhamento")</f>
        <v>Acompanhamento</v>
      </c>
      <c r="I960" s="17" t="n">
        <v>303.779193205945</v>
      </c>
      <c r="J960" s="11" t="n">
        <f aca="false">D960*I960</f>
        <v>2142079.21974522</v>
      </c>
      <c r="K960" s="7" t="n">
        <f aca="false">Parâmetros!$B$4+Parâmetros!$B$5*F960</f>
        <v>0.02</v>
      </c>
      <c r="L960" s="11" t="n">
        <f aca="false">D960*(1+G960)</f>
        <v>7223.51699683001</v>
      </c>
      <c r="M960" s="14" t="n">
        <v>0</v>
      </c>
      <c r="N960" s="4" t="n">
        <v>1</v>
      </c>
      <c r="O960" s="3" t="str">
        <f aca="false">IF(AND(B960=4,M960=1),IF(N960&lt;0.8,"Subgrupo 7 dias; fronteira de cluster","Subgrupo 7 dias"),IF(N960&lt;0.8,"Fronteira de cluster",""))</f>
        <v/>
      </c>
    </row>
    <row r="961" customFormat="false" ht="15" hidden="false" customHeight="false" outlineLevel="0" collapsed="false">
      <c r="A961" s="14" t="n">
        <v>960</v>
      </c>
      <c r="B961" s="14" t="n">
        <v>1</v>
      </c>
      <c r="C961" s="14" t="s">
        <v>30</v>
      </c>
      <c r="D961" s="15" t="n">
        <v>6723.60051216389</v>
      </c>
      <c r="E961" s="16" t="n">
        <f aca="false">INDEX(Parâmetros!$C$33:$C$37,MATCH(B961,Parâmetros!$A$33:$A$37,0))</f>
        <v>6959.92435130262</v>
      </c>
      <c r="F961" s="7" t="n">
        <f aca="false">MAX(0,(E961-D961)/D961)</f>
        <v>0.0351484057851425</v>
      </c>
      <c r="G961" s="7" t="n">
        <f aca="false">MIN(K961*Parâmetros!$B$19,Parâmetros!$B$8)</f>
        <v>0.035125782230121</v>
      </c>
      <c r="H961" s="3" t="str">
        <f aca="false">IF(F961&gt;=Parâmetros!$B$6,"Ação","Acompanhamento")</f>
        <v>Acompanhamento</v>
      </c>
      <c r="I961" s="17" t="n">
        <v>302.616772823779</v>
      </c>
      <c r="J961" s="11" t="n">
        <f aca="false">D961*I961</f>
        <v>2034674.28874735</v>
      </c>
      <c r="K961" s="7" t="n">
        <f aca="false">Parâmetros!$B$4+Parâmetros!$B$5*F961</f>
        <v>0.0287871014462856</v>
      </c>
      <c r="L961" s="11" t="n">
        <f aca="false">D961*(1+G961)</f>
        <v>6959.77223955649</v>
      </c>
      <c r="M961" s="14" t="n">
        <v>0</v>
      </c>
      <c r="N961" s="4" t="n">
        <v>1</v>
      </c>
      <c r="O961" s="3" t="str">
        <f aca="false">IF(AND(B961=4,M961=1),IF(N961&lt;0.8,"Subgrupo 7 dias; fronteira de cluster","Subgrupo 7 dias"),IF(N961&lt;0.8,"Fronteira de cluster",""))</f>
        <v/>
      </c>
    </row>
    <row r="962" customFormat="false" ht="15" hidden="false" customHeight="false" outlineLevel="0" collapsed="false">
      <c r="A962" s="14" t="n">
        <v>961</v>
      </c>
      <c r="B962" s="14" t="n">
        <v>1</v>
      </c>
      <c r="C962" s="14" t="s">
        <v>30</v>
      </c>
      <c r="D962" s="15" t="n">
        <v>6521.93581514763</v>
      </c>
      <c r="E962" s="16" t="n">
        <f aca="false">INDEX(Parâmetros!$C$33:$C$37,MATCH(B962,Parâmetros!$A$33:$A$37,0))</f>
        <v>6959.92435130262</v>
      </c>
      <c r="F962" s="7" t="n">
        <f aca="false">MAX(0,(E962-D962)/D962)</f>
        <v>0.0671562168915767</v>
      </c>
      <c r="G962" s="7" t="n">
        <f aca="false">MIN(K962*Parâmetros!$B$19,Parâmetros!$B$8)</f>
        <v>0.0448896985859002</v>
      </c>
      <c r="H962" s="3" t="str">
        <f aca="false">IF(F962&gt;=Parâmetros!$B$6,"Ação","Acompanhamento")</f>
        <v>Acompanhamento</v>
      </c>
      <c r="I962" s="17" t="n">
        <v>301.841825902336</v>
      </c>
      <c r="J962" s="11" t="n">
        <f aca="false">D962*I962</f>
        <v>1968593.014862</v>
      </c>
      <c r="K962" s="7" t="n">
        <f aca="false">Parâmetros!$B$4+Parâmetros!$B$5*F962</f>
        <v>0.0367890542228942</v>
      </c>
      <c r="L962" s="11" t="n">
        <f aca="false">D962*(1+G962)</f>
        <v>6814.70354808619</v>
      </c>
      <c r="M962" s="14" t="n">
        <v>0</v>
      </c>
      <c r="N962" s="4" t="n">
        <v>1</v>
      </c>
      <c r="O962" s="3" t="str">
        <f aca="false">IF(AND(B962=4,M962=1),IF(N962&lt;0.8,"Subgrupo 7 dias; fronteira de cluster","Subgrupo 7 dias"),IF(N962&lt;0.8,"Fronteira de cluster",""))</f>
        <v/>
      </c>
    </row>
    <row r="963" customFormat="false" ht="15" hidden="false" customHeight="false" outlineLevel="0" collapsed="false">
      <c r="A963" s="14" t="n">
        <v>962</v>
      </c>
      <c r="B963" s="14" t="n">
        <v>0</v>
      </c>
      <c r="C963" s="14" t="s">
        <v>29</v>
      </c>
      <c r="D963" s="15" t="n">
        <v>6690.61488250653</v>
      </c>
      <c r="E963" s="16" t="n">
        <f aca="false">INDEX(Parâmetros!$C$33:$C$37,MATCH(B963,Parâmetros!$A$33:$A$37,0))</f>
        <v>5476.37033462034</v>
      </c>
      <c r="F963" s="7" t="n">
        <f aca="false">MAX(0,(E963-D963)/D963)</f>
        <v>0</v>
      </c>
      <c r="G963" s="7" t="n">
        <f aca="false">MIN(K963*Parâmetros!$B$19,Parâmetros!$B$8)</f>
        <v>0.0244038339849275</v>
      </c>
      <c r="H963" s="3" t="str">
        <f aca="false">IF(F963&gt;=Parâmetros!$B$6,"Ação","Acompanhamento")</f>
        <v>Acompanhamento</v>
      </c>
      <c r="I963" s="17" t="n">
        <v>296.804670912951</v>
      </c>
      <c r="J963" s="11" t="n">
        <f aca="false">D963*I963</f>
        <v>1985805.74840764</v>
      </c>
      <c r="K963" s="7" t="n">
        <f aca="false">Parâmetros!$B$4+Parâmetros!$B$5*F963</f>
        <v>0.02</v>
      </c>
      <c r="L963" s="11" t="n">
        <f aca="false">D963*(1+G963)</f>
        <v>6853.8915373563</v>
      </c>
      <c r="M963" s="14" t="n">
        <v>0</v>
      </c>
      <c r="N963" s="4" t="n">
        <v>0.986111111111111</v>
      </c>
      <c r="O963" s="3" t="str">
        <f aca="false">IF(AND(B963=4,M963=1),IF(N963&lt;0.8,"Subgrupo 7 dias; fronteira de cluster","Subgrupo 7 dias"),IF(N963&lt;0.8,"Fronteira de cluster",""))</f>
        <v/>
      </c>
    </row>
    <row r="964" customFormat="false" ht="15" hidden="false" customHeight="false" outlineLevel="0" collapsed="false">
      <c r="A964" s="14" t="n">
        <v>963</v>
      </c>
      <c r="B964" s="14" t="n">
        <v>3</v>
      </c>
      <c r="C964" s="14" t="s">
        <v>32</v>
      </c>
      <c r="D964" s="15" t="n">
        <v>10764.3209242619</v>
      </c>
      <c r="E964" s="16" t="n">
        <f aca="false">INDEX(Parâmetros!$C$33:$C$37,MATCH(B964,Parâmetros!$A$33:$A$37,0))</f>
        <v>5909.24487179487</v>
      </c>
      <c r="F964" s="7" t="n">
        <f aca="false">MAX(0,(E964-D964)/D964)</f>
        <v>0</v>
      </c>
      <c r="G964" s="7" t="n">
        <f aca="false">MIN(K964*Parâmetros!$B$19,Parâmetros!$B$8)</f>
        <v>0.0244038339849275</v>
      </c>
      <c r="H964" s="3" t="str">
        <f aca="false">IF(F964&gt;=Parâmetros!$B$6,"Ação","Acompanhamento")</f>
        <v>Acompanhamento</v>
      </c>
      <c r="I964" s="17" t="n">
        <v>301.841825902336</v>
      </c>
      <c r="J964" s="11" t="n">
        <f aca="false">D964*I964</f>
        <v>3249122.28237792</v>
      </c>
      <c r="K964" s="7" t="n">
        <f aca="false">Parâmetros!$B$4+Parâmetros!$B$5*F964</f>
        <v>0.02</v>
      </c>
      <c r="L964" s="11" t="n">
        <f aca="false">D964*(1+G964)</f>
        <v>11027.011625058</v>
      </c>
      <c r="M964" s="14" t="n">
        <v>0</v>
      </c>
      <c r="N964" s="4" t="n">
        <v>1</v>
      </c>
      <c r="O964" s="3" t="str">
        <f aca="false">IF(AND(B964=4,M964=1),IF(N964&lt;0.8,"Subgrupo 7 dias; fronteira de cluster","Subgrupo 7 dias"),IF(N964&lt;0.8,"Fronteira de cluster",""))</f>
        <v/>
      </c>
    </row>
    <row r="965" customFormat="false" ht="15" hidden="false" customHeight="false" outlineLevel="0" collapsed="false">
      <c r="A965" s="14" t="n">
        <v>964</v>
      </c>
      <c r="B965" s="14" t="n">
        <v>4</v>
      </c>
      <c r="C965" s="14" t="s">
        <v>33</v>
      </c>
      <c r="D965" s="15" t="n">
        <v>9759.97279792746</v>
      </c>
      <c r="E965" s="16" t="n">
        <f aca="false">INDEX(Parâmetros!$C$33:$C$37,MATCH(B965,Parâmetros!$A$33:$A$37,0))</f>
        <v>8837.10512820513</v>
      </c>
      <c r="F965" s="7" t="n">
        <f aca="false">MAX(0,(E965-D965)/D965)</f>
        <v>0</v>
      </c>
      <c r="G965" s="7" t="n">
        <f aca="false">MIN(K965*Parâmetros!$B$19,Parâmetros!$B$8)</f>
        <v>0.0244038339849275</v>
      </c>
      <c r="H965" s="3" t="str">
        <f aca="false">IF(F965&gt;=Parâmetros!$B$6,"Ação","Acompanhamento")</f>
        <v>Acompanhamento</v>
      </c>
      <c r="I965" s="17" t="n">
        <v>299.129511677282</v>
      </c>
      <c r="J965" s="11" t="n">
        <f aca="false">D965*I965</f>
        <v>2919495.8970276</v>
      </c>
      <c r="K965" s="7" t="n">
        <f aca="false">Parâmetros!$B$4+Parâmetros!$B$5*F965</f>
        <v>0.02</v>
      </c>
      <c r="L965" s="11" t="n">
        <f aca="false">D965*(1+G965)</f>
        <v>9998.15355378549</v>
      </c>
      <c r="M965" s="14" t="n">
        <v>0</v>
      </c>
      <c r="N965" s="4" t="n">
        <v>0.974025974025974</v>
      </c>
      <c r="O965" s="3" t="str">
        <f aca="false">IF(AND(B965=4,M965=1),IF(N965&lt;0.8,"Subgrupo 7 dias; fronteira de cluster","Subgrupo 7 dias"),IF(N965&lt;0.8,"Fronteira de cluster",""))</f>
        <v/>
      </c>
    </row>
    <row r="966" customFormat="false" ht="15" hidden="false" customHeight="false" outlineLevel="0" collapsed="false">
      <c r="A966" s="14" t="n">
        <v>965</v>
      </c>
      <c r="B966" s="14" t="n">
        <v>0</v>
      </c>
      <c r="C966" s="14" t="s">
        <v>29</v>
      </c>
      <c r="D966" s="15" t="n">
        <v>8484.76312419974</v>
      </c>
      <c r="E966" s="16" t="n">
        <f aca="false">INDEX(Parâmetros!$C$33:$C$37,MATCH(B966,Parâmetros!$A$33:$A$37,0))</f>
        <v>5476.37033462034</v>
      </c>
      <c r="F966" s="7" t="n">
        <f aca="false">MAX(0,(E966-D966)/D966)</f>
        <v>0</v>
      </c>
      <c r="G966" s="7" t="n">
        <f aca="false">MIN(K966*Parâmetros!$B$19,Parâmetros!$B$8)</f>
        <v>0.0244038339849275</v>
      </c>
      <c r="H966" s="3" t="str">
        <f aca="false">IF(F966&gt;=Parâmetros!$B$6,"Ação","Acompanhamento")</f>
        <v>Acompanhamento</v>
      </c>
      <c r="I966" s="17" t="n">
        <v>302.616772823779</v>
      </c>
      <c r="J966" s="11" t="n">
        <f aca="false">D966*I966</f>
        <v>2567631.63481953</v>
      </c>
      <c r="K966" s="7" t="n">
        <f aca="false">Parâmetros!$B$4+Parâmetros!$B$5*F966</f>
        <v>0.02</v>
      </c>
      <c r="L966" s="11" t="n">
        <f aca="false">D966*(1+G966)</f>
        <v>8691.82387488415</v>
      </c>
      <c r="M966" s="14" t="n">
        <v>0</v>
      </c>
      <c r="N966" s="4" t="n">
        <v>0.949367088607595</v>
      </c>
      <c r="O966" s="3" t="str">
        <f aca="false">IF(AND(B966=4,M966=1),IF(N966&lt;0.8,"Subgrupo 7 dias; fronteira de cluster","Subgrupo 7 dias"),IF(N966&lt;0.8,"Fronteira de cluster",""))</f>
        <v/>
      </c>
    </row>
    <row r="967" customFormat="false" ht="15" hidden="false" customHeight="false" outlineLevel="0" collapsed="false">
      <c r="A967" s="14" t="n">
        <v>966</v>
      </c>
      <c r="B967" s="14" t="n">
        <v>0</v>
      </c>
      <c r="C967" s="14" t="s">
        <v>29</v>
      </c>
      <c r="D967" s="15" t="n">
        <v>4818.0783055199</v>
      </c>
      <c r="E967" s="16" t="n">
        <f aca="false">INDEX(Parâmetros!$C$33:$C$37,MATCH(B967,Parâmetros!$A$33:$A$37,0))</f>
        <v>5476.37033462034</v>
      </c>
      <c r="F967" s="7" t="n">
        <f aca="false">MAX(0,(E967-D967)/D967)</f>
        <v>0.136629582866318</v>
      </c>
      <c r="G967" s="7" t="n">
        <f aca="false">MIN(K967*Parâmetros!$B$19,Parâmetros!$B$8)</f>
        <v>0.0660824047061712</v>
      </c>
      <c r="H967" s="3" t="str">
        <f aca="false">IF(F967&gt;=Parâmetros!$B$6,"Ação","Acompanhamento")</f>
        <v>Ação</v>
      </c>
      <c r="I967" s="17" t="n">
        <v>301.841825902336</v>
      </c>
      <c r="J967" s="11" t="n">
        <f aca="false">D967*I967</f>
        <v>1454297.55307856</v>
      </c>
      <c r="K967" s="7" t="n">
        <f aca="false">Parâmetros!$B$4+Parâmetros!$B$5*F967</f>
        <v>0.0541573957165794</v>
      </c>
      <c r="L967" s="11" t="n">
        <f aca="false">D967*(1+G967)</f>
        <v>5136.46850601129</v>
      </c>
      <c r="M967" s="14" t="n">
        <v>0</v>
      </c>
      <c r="N967" s="4" t="n">
        <v>0.866666666666667</v>
      </c>
      <c r="O967" s="3" t="str">
        <f aca="false">IF(AND(B967=4,M967=1),IF(N967&lt;0.8,"Subgrupo 7 dias; fronteira de cluster","Subgrupo 7 dias"),IF(N967&lt;0.8,"Fronteira de cluster",""))</f>
        <v/>
      </c>
    </row>
    <row r="968" customFormat="false" ht="15" hidden="false" customHeight="false" outlineLevel="0" collapsed="false">
      <c r="A968" s="14" t="n">
        <v>967</v>
      </c>
      <c r="B968" s="14" t="n">
        <v>1</v>
      </c>
      <c r="C968" s="14" t="s">
        <v>30</v>
      </c>
      <c r="D968" s="15" t="n">
        <v>8641.17201540437</v>
      </c>
      <c r="E968" s="16" t="n">
        <f aca="false">INDEX(Parâmetros!$C$33:$C$37,MATCH(B968,Parâmetros!$A$33:$A$37,0))</f>
        <v>6959.92435130262</v>
      </c>
      <c r="F968" s="7" t="n">
        <f aca="false">MAX(0,(E968-D968)/D968)</f>
        <v>0</v>
      </c>
      <c r="G968" s="7" t="n">
        <f aca="false">MIN(K968*Parâmetros!$B$19,Parâmetros!$B$8)</f>
        <v>0.0244038339849275</v>
      </c>
      <c r="H968" s="3" t="str">
        <f aca="false">IF(F968&gt;=Parâmetros!$B$6,"Ação","Acompanhamento")</f>
        <v>Acompanhamento</v>
      </c>
      <c r="I968" s="17" t="n">
        <v>301.841825902336</v>
      </c>
      <c r="J968" s="11" t="n">
        <f aca="false">D968*I968</f>
        <v>2608267.13906582</v>
      </c>
      <c r="K968" s="7" t="n">
        <f aca="false">Parâmetros!$B$4+Parâmetros!$B$5*F968</f>
        <v>0.02</v>
      </c>
      <c r="L968" s="11" t="n">
        <f aca="false">D968*(1+G968)</f>
        <v>8852.0497427035</v>
      </c>
      <c r="M968" s="14" t="n">
        <v>0</v>
      </c>
      <c r="N968" s="4" t="n">
        <v>0.98780487804878</v>
      </c>
      <c r="O968" s="3" t="str">
        <f aca="false">IF(AND(B968=4,M968=1),IF(N968&lt;0.8,"Subgrupo 7 dias; fronteira de cluster","Subgrupo 7 dias"),IF(N968&lt;0.8,"Fronteira de cluster",""))</f>
        <v/>
      </c>
    </row>
    <row r="969" customFormat="false" ht="15" hidden="false" customHeight="false" outlineLevel="0" collapsed="false">
      <c r="A969" s="14" t="n">
        <v>968</v>
      </c>
      <c r="B969" s="14" t="n">
        <v>0</v>
      </c>
      <c r="C969" s="14" t="s">
        <v>29</v>
      </c>
      <c r="D969" s="15" t="n">
        <v>7191.97692307692</v>
      </c>
      <c r="E969" s="16" t="n">
        <f aca="false">INDEX(Parâmetros!$C$33:$C$37,MATCH(B969,Parâmetros!$A$33:$A$37,0))</f>
        <v>5476.37033462034</v>
      </c>
      <c r="F969" s="7" t="n">
        <f aca="false">MAX(0,(E969-D969)/D969)</f>
        <v>0</v>
      </c>
      <c r="G969" s="7" t="n">
        <f aca="false">MIN(K969*Parâmetros!$B$19,Parâmetros!$B$8)</f>
        <v>0.0244038339849275</v>
      </c>
      <c r="H969" s="3" t="str">
        <f aca="false">IF(F969&gt;=Parâmetros!$B$6,"Ação","Acompanhamento")</f>
        <v>Acompanhamento</v>
      </c>
      <c r="I969" s="17" t="n">
        <v>302.229299363057</v>
      </c>
      <c r="J969" s="11" t="n">
        <f aca="false">D969*I969</f>
        <v>2173626.14649682</v>
      </c>
      <c r="K969" s="7" t="n">
        <f aca="false">Parâmetros!$B$4+Parâmetros!$B$5*F969</f>
        <v>0.02</v>
      </c>
      <c r="L969" s="11" t="n">
        <f aca="false">D969*(1+G969)</f>
        <v>7367.48873393112</v>
      </c>
      <c r="M969" s="14" t="n">
        <v>0</v>
      </c>
      <c r="N969" s="4" t="n">
        <v>0.783132530120482</v>
      </c>
      <c r="O969" s="3" t="str">
        <f aca="false">IF(AND(B969=4,M969=1),IF(N969&lt;0.8,"Subgrupo 7 dias; fronteira de cluster","Subgrupo 7 dias"),IF(N969&lt;0.8,"Fronteira de cluster",""))</f>
        <v>Fronteira de cluster</v>
      </c>
    </row>
    <row r="970" customFormat="false" ht="15" hidden="false" customHeight="false" outlineLevel="0" collapsed="false">
      <c r="A970" s="14" t="n">
        <v>969</v>
      </c>
      <c r="B970" s="14" t="n">
        <v>0</v>
      </c>
      <c r="C970" s="14" t="s">
        <v>29</v>
      </c>
      <c r="D970" s="15" t="n">
        <v>3503.46622516556</v>
      </c>
      <c r="E970" s="16" t="n">
        <f aca="false">INDEX(Parâmetros!$C$33:$C$37,MATCH(B970,Parâmetros!$A$33:$A$37,0))</f>
        <v>5476.37033462034</v>
      </c>
      <c r="F970" s="7" t="n">
        <f aca="false">MAX(0,(E970-D970)/D970)</f>
        <v>0.563129193392335</v>
      </c>
      <c r="G970" s="7" t="n">
        <f aca="false">MIN(K970*Parâmetros!$B$19,Parâmetros!$B$8)</f>
        <v>0.196185225830085</v>
      </c>
      <c r="H970" s="3" t="str">
        <f aca="false">IF(F970&gt;=Parâmetros!$B$6,"Ação","Acompanhamento")</f>
        <v>Ação</v>
      </c>
      <c r="I970" s="17" t="n">
        <v>292.542462845011</v>
      </c>
      <c r="J970" s="11" t="n">
        <f aca="false">D970*I970</f>
        <v>1024912.63800425</v>
      </c>
      <c r="K970" s="7" t="n">
        <f aca="false">Parâmetros!$B$4+Parâmetros!$B$5*F970</f>
        <v>0.160782298348084</v>
      </c>
      <c r="L970" s="11" t="n">
        <f aca="false">D970*(1+G970)</f>
        <v>4190.79453773775</v>
      </c>
      <c r="M970" s="14" t="n">
        <v>0</v>
      </c>
      <c r="N970" s="4" t="n">
        <v>0.905882352941176</v>
      </c>
      <c r="O970" s="3" t="str">
        <f aca="false">IF(AND(B970=4,M970=1),IF(N970&lt;0.8,"Subgrupo 7 dias; fronteira de cluster","Subgrupo 7 dias"),IF(N970&lt;0.8,"Fronteira de cluster",""))</f>
        <v/>
      </c>
    </row>
    <row r="971" customFormat="false" ht="15" hidden="false" customHeight="false" outlineLevel="0" collapsed="false">
      <c r="A971" s="14" t="n">
        <v>970</v>
      </c>
      <c r="B971" s="14" t="n">
        <v>3</v>
      </c>
      <c r="C971" s="14" t="s">
        <v>32</v>
      </c>
      <c r="D971" s="15" t="n">
        <v>3295.74263764405</v>
      </c>
      <c r="E971" s="16" t="n">
        <f aca="false">INDEX(Parâmetros!$C$33:$C$37,MATCH(B971,Parâmetros!$A$33:$A$37,0))</f>
        <v>5909.24487179487</v>
      </c>
      <c r="F971" s="7" t="n">
        <f aca="false">MAX(0,(E971-D971)/D971)</f>
        <v>0.792993422574732</v>
      </c>
      <c r="G971" s="7" t="n">
        <f aca="false">MIN(K971*Parâmetros!$B$19,Parâmetros!$B$8)</f>
        <v>0.2</v>
      </c>
      <c r="H971" s="3" t="str">
        <f aca="false">IF(F971&gt;=Parâmetros!$B$6,"Ação","Acompanhamento")</f>
        <v>Ação</v>
      </c>
      <c r="I971" s="17" t="n">
        <v>302.616772823779</v>
      </c>
      <c r="J971" s="11" t="n">
        <f aca="false">D971*I971</f>
        <v>997347.001061571</v>
      </c>
      <c r="K971" s="7" t="n">
        <f aca="false">Parâmetros!$B$4+Parâmetros!$B$5*F971</f>
        <v>0.218248355643683</v>
      </c>
      <c r="L971" s="11" t="n">
        <f aca="false">D971*(1+G971)</f>
        <v>3954.89116517286</v>
      </c>
      <c r="M971" s="14" t="n">
        <v>0</v>
      </c>
      <c r="N971" s="4" t="n">
        <v>0.75</v>
      </c>
      <c r="O971" s="3" t="str">
        <f aca="false">IF(AND(B971=4,M971=1),IF(N971&lt;0.8,"Subgrupo 7 dias; fronteira de cluster","Subgrupo 7 dias"),IF(N971&lt;0.8,"Fronteira de cluster",""))</f>
        <v>Fronteira de cluster</v>
      </c>
    </row>
    <row r="972" customFormat="false" ht="15" hidden="false" customHeight="false" outlineLevel="0" collapsed="false">
      <c r="A972" s="14" t="n">
        <v>971</v>
      </c>
      <c r="B972" s="14" t="n">
        <v>0</v>
      </c>
      <c r="C972" s="14" t="s">
        <v>29</v>
      </c>
      <c r="D972" s="15" t="n">
        <v>8280.81865284974</v>
      </c>
      <c r="E972" s="16" t="n">
        <f aca="false">INDEX(Parâmetros!$C$33:$C$37,MATCH(B972,Parâmetros!$A$33:$A$37,0))</f>
        <v>5476.37033462034</v>
      </c>
      <c r="F972" s="7" t="n">
        <f aca="false">MAX(0,(E972-D972)/D972)</f>
        <v>0</v>
      </c>
      <c r="G972" s="7" t="n">
        <f aca="false">MIN(K972*Parâmetros!$B$19,Parâmetros!$B$8)</f>
        <v>0.0244038339849275</v>
      </c>
      <c r="H972" s="3" t="str">
        <f aca="false">IF(F972&gt;=Parâmetros!$B$6,"Ação","Acompanhamento")</f>
        <v>Acompanhamento</v>
      </c>
      <c r="I972" s="17" t="n">
        <v>299.516985138004</v>
      </c>
      <c r="J972" s="11" t="n">
        <f aca="false">D972*I972</f>
        <v>2480245.8373761</v>
      </c>
      <c r="K972" s="7" t="n">
        <f aca="false">Parâmetros!$B$4+Parâmetros!$B$5*F972</f>
        <v>0.02</v>
      </c>
      <c r="L972" s="11" t="n">
        <f aca="false">D972*(1+G972)</f>
        <v>8482.90237651318</v>
      </c>
      <c r="M972" s="14" t="n">
        <v>0</v>
      </c>
      <c r="N972" s="4" t="n">
        <v>0.625</v>
      </c>
      <c r="O972" s="3" t="str">
        <f aca="false">IF(AND(B972=4,M972=1),IF(N972&lt;0.8,"Subgrupo 7 dias; fronteira de cluster","Subgrupo 7 dias"),IF(N972&lt;0.8,"Fronteira de cluster",""))</f>
        <v>Fronteira de cluster</v>
      </c>
    </row>
    <row r="973" customFormat="false" ht="15" hidden="false" customHeight="false" outlineLevel="0" collapsed="false">
      <c r="A973" s="14" t="n">
        <v>972</v>
      </c>
      <c r="B973" s="14" t="n">
        <v>3</v>
      </c>
      <c r="C973" s="14" t="s">
        <v>32</v>
      </c>
      <c r="D973" s="15" t="n">
        <v>3422.54558404558</v>
      </c>
      <c r="E973" s="16" t="n">
        <f aca="false">INDEX(Parâmetros!$C$33:$C$37,MATCH(B973,Parâmetros!$A$33:$A$37,0))</f>
        <v>5909.24487179487</v>
      </c>
      <c r="F973" s="7" t="n">
        <f aca="false">MAX(0,(E973-D973)/D973)</f>
        <v>0.726564256540861</v>
      </c>
      <c r="G973" s="7" t="n">
        <f aca="false">MIN(K973*Parâmetros!$B$19,Parâmetros!$B$8)</f>
        <v>0.2</v>
      </c>
      <c r="H973" s="3" t="str">
        <f aca="false">IF(F973&gt;=Parâmetros!$B$6,"Ação","Acompanhamento")</f>
        <v>Ação</v>
      </c>
      <c r="I973" s="17" t="n">
        <v>272.006369426752</v>
      </c>
      <c r="J973" s="11" t="n">
        <f aca="false">D973*I973</f>
        <v>930954.1985138</v>
      </c>
      <c r="K973" s="7" t="n">
        <f aca="false">Parâmetros!$B$4+Parâmetros!$B$5*F973</f>
        <v>0.201641064135215</v>
      </c>
      <c r="L973" s="11" t="n">
        <f aca="false">D973*(1+G973)</f>
        <v>4107.0547008547</v>
      </c>
      <c r="M973" s="14" t="n">
        <v>0</v>
      </c>
      <c r="N973" s="4" t="n">
        <v>1</v>
      </c>
      <c r="O973" s="3" t="str">
        <f aca="false">IF(AND(B973=4,M973=1),IF(N973&lt;0.8,"Subgrupo 7 dias; fronteira de cluster","Subgrupo 7 dias"),IF(N973&lt;0.8,"Fronteira de cluster",""))</f>
        <v/>
      </c>
    </row>
    <row r="974" customFormat="false" ht="15" hidden="false" customHeight="false" outlineLevel="0" collapsed="false">
      <c r="A974" s="14" t="n">
        <v>973</v>
      </c>
      <c r="B974" s="14" t="n">
        <v>0</v>
      </c>
      <c r="C974" s="14" t="s">
        <v>29</v>
      </c>
      <c r="D974" s="15" t="n">
        <v>6440.98587933248</v>
      </c>
      <c r="E974" s="16" t="n">
        <f aca="false">INDEX(Parâmetros!$C$33:$C$37,MATCH(B974,Parâmetros!$A$33:$A$37,0))</f>
        <v>5476.37033462034</v>
      </c>
      <c r="F974" s="7" t="n">
        <f aca="false">MAX(0,(E974-D974)/D974)</f>
        <v>0</v>
      </c>
      <c r="G974" s="7" t="n">
        <f aca="false">MIN(K974*Parâmetros!$B$19,Parâmetros!$B$8)</f>
        <v>0.0244038339849275</v>
      </c>
      <c r="H974" s="3" t="str">
        <f aca="false">IF(F974&gt;=Parâmetros!$B$6,"Ação","Acompanhamento")</f>
        <v>Acompanhamento</v>
      </c>
      <c r="I974" s="17" t="n">
        <v>301.841825902336</v>
      </c>
      <c r="J974" s="11" t="n">
        <f aca="false">D974*I974</f>
        <v>1944158.93842887</v>
      </c>
      <c r="K974" s="7" t="n">
        <f aca="false">Parâmetros!$B$4+Parâmetros!$B$5*F974</f>
        <v>0.02</v>
      </c>
      <c r="L974" s="11" t="n">
        <f aca="false">D974*(1+G974)</f>
        <v>6598.17062943097</v>
      </c>
      <c r="M974" s="14" t="n">
        <v>0</v>
      </c>
      <c r="N974" s="4" t="n">
        <v>0.974025974025974</v>
      </c>
      <c r="O974" s="3" t="str">
        <f aca="false">IF(AND(B974=4,M974=1),IF(N974&lt;0.8,"Subgrupo 7 dias; fronteira de cluster","Subgrupo 7 dias"),IF(N974&lt;0.8,"Fronteira de cluster",""))</f>
        <v/>
      </c>
    </row>
    <row r="975" customFormat="false" ht="15" hidden="false" customHeight="false" outlineLevel="0" collapsed="false">
      <c r="A975" s="14" t="n">
        <v>974</v>
      </c>
      <c r="B975" s="14" t="n">
        <v>4</v>
      </c>
      <c r="C975" s="14" t="s">
        <v>33</v>
      </c>
      <c r="D975" s="15" t="n">
        <v>11540.9549839228</v>
      </c>
      <c r="E975" s="16" t="n">
        <f aca="false">INDEX(Parâmetros!$C$33:$C$37,MATCH(B975,Parâmetros!$A$33:$A$37,0))</f>
        <v>8837.10512820513</v>
      </c>
      <c r="F975" s="7" t="n">
        <f aca="false">MAX(0,(E975-D975)/D975)</f>
        <v>0</v>
      </c>
      <c r="G975" s="7" t="n">
        <f aca="false">MIN(K975*Parâmetros!$B$19,Parâmetros!$B$8)</f>
        <v>0.0244038339849275</v>
      </c>
      <c r="H975" s="3" t="str">
        <f aca="false">IF(F975&gt;=Parâmetros!$B$6,"Ação","Acompanhamento")</f>
        <v>Acompanhamento</v>
      </c>
      <c r="I975" s="17" t="n">
        <v>299.511873350924</v>
      </c>
      <c r="J975" s="11" t="n">
        <f aca="false">D975*I975</f>
        <v>3456653.0474934</v>
      </c>
      <c r="K975" s="7" t="n">
        <f aca="false">Parâmetros!$B$4+Parâmetros!$B$5*F975</f>
        <v>0.02</v>
      </c>
      <c r="L975" s="11" t="n">
        <f aca="false">D975*(1+G975)</f>
        <v>11822.598533378</v>
      </c>
      <c r="M975" s="14" t="n">
        <v>0</v>
      </c>
      <c r="N975" s="4" t="n">
        <v>1</v>
      </c>
      <c r="O975" s="3" t="str">
        <f aca="false">IF(AND(B975=4,M975=1),IF(N975&lt;0.8,"Subgrupo 7 dias; fronteira de cluster","Subgrupo 7 dias"),IF(N975&lt;0.8,"Fronteira de cluster",""))</f>
        <v/>
      </c>
    </row>
    <row r="976" customFormat="false" ht="15" hidden="false" customHeight="false" outlineLevel="0" collapsed="false">
      <c r="A976" s="14" t="n">
        <v>975</v>
      </c>
      <c r="B976" s="14" t="n">
        <v>1</v>
      </c>
      <c r="C976" s="14" t="s">
        <v>30</v>
      </c>
      <c r="D976" s="15" t="n">
        <v>7715.73684210526</v>
      </c>
      <c r="E976" s="16" t="n">
        <f aca="false">INDEX(Parâmetros!$C$33:$C$37,MATCH(B976,Parâmetros!$A$33:$A$37,0))</f>
        <v>6959.92435130262</v>
      </c>
      <c r="F976" s="7" t="n">
        <f aca="false">MAX(0,(E976-D976)/D976)</f>
        <v>0</v>
      </c>
      <c r="G976" s="7" t="n">
        <f aca="false">MIN(K976*Parâmetros!$B$19,Parâmetros!$B$8)</f>
        <v>0.0244038339849275</v>
      </c>
      <c r="H976" s="3" t="str">
        <f aca="false">IF(F976&gt;=Parâmetros!$B$6,"Ação","Acompanhamento")</f>
        <v>Acompanhamento</v>
      </c>
      <c r="I976" s="17" t="n">
        <v>301.841825902336</v>
      </c>
      <c r="J976" s="11" t="n">
        <f aca="false">D976*I976</f>
        <v>2328932.09660297</v>
      </c>
      <c r="K976" s="7" t="n">
        <f aca="false">Parâmetros!$B$4+Parâmetros!$B$5*F976</f>
        <v>0.02</v>
      </c>
      <c r="L976" s="11" t="n">
        <f aca="false">D976*(1+G976)</f>
        <v>7904.03040307139</v>
      </c>
      <c r="M976" s="14" t="n">
        <v>0</v>
      </c>
      <c r="N976" s="4" t="n">
        <v>1</v>
      </c>
      <c r="O976" s="3" t="str">
        <f aca="false">IF(AND(B976=4,M976=1),IF(N976&lt;0.8,"Subgrupo 7 dias; fronteira de cluster","Subgrupo 7 dias"),IF(N976&lt;0.8,"Fronteira de cluster",""))</f>
        <v/>
      </c>
    </row>
    <row r="977" customFormat="false" ht="15" hidden="false" customHeight="false" outlineLevel="0" collapsed="false">
      <c r="A977" s="14" t="n">
        <v>976</v>
      </c>
      <c r="B977" s="14" t="n">
        <v>3</v>
      </c>
      <c r="C977" s="14" t="s">
        <v>32</v>
      </c>
      <c r="D977" s="15" t="n">
        <v>6974.96534017972</v>
      </c>
      <c r="E977" s="16" t="n">
        <f aca="false">INDEX(Parâmetros!$C$33:$C$37,MATCH(B977,Parâmetros!$A$33:$A$37,0))</f>
        <v>5909.24487179487</v>
      </c>
      <c r="F977" s="7" t="n">
        <f aca="false">MAX(0,(E977-D977)/D977)</f>
        <v>0</v>
      </c>
      <c r="G977" s="7" t="n">
        <f aca="false">MIN(K977*Parâmetros!$B$19,Parâmetros!$B$8)</f>
        <v>0.0244038339849275</v>
      </c>
      <c r="H977" s="3" t="str">
        <f aca="false">IF(F977&gt;=Parâmetros!$B$6,"Ação","Acompanhamento")</f>
        <v>Acompanhamento</v>
      </c>
      <c r="I977" s="17" t="n">
        <v>301.841825902336</v>
      </c>
      <c r="J977" s="11" t="n">
        <f aca="false">D977*I977</f>
        <v>2105336.27388535</v>
      </c>
      <c r="K977" s="7" t="n">
        <f aca="false">Parâmetros!$B$4+Parâmetros!$B$5*F977</f>
        <v>0.02</v>
      </c>
      <c r="L977" s="11" t="n">
        <f aca="false">D977*(1+G977)</f>
        <v>7145.18123639209</v>
      </c>
      <c r="M977" s="14" t="n">
        <v>0</v>
      </c>
      <c r="N977" s="4" t="n">
        <v>0.962025316455696</v>
      </c>
      <c r="O977" s="3" t="str">
        <f aca="false">IF(AND(B977=4,M977=1),IF(N977&lt;0.8,"Subgrupo 7 dias; fronteira de cluster","Subgrupo 7 dias"),IF(N977&lt;0.8,"Fronteira de cluster",""))</f>
        <v/>
      </c>
    </row>
    <row r="978" customFormat="false" ht="15" hidden="false" customHeight="false" outlineLevel="0" collapsed="false">
      <c r="A978" s="14" t="n">
        <v>977</v>
      </c>
      <c r="B978" s="14" t="n">
        <v>3</v>
      </c>
      <c r="C978" s="14" t="s">
        <v>32</v>
      </c>
      <c r="D978" s="15" t="n">
        <v>4774.14285714286</v>
      </c>
      <c r="E978" s="16" t="n">
        <f aca="false">INDEX(Parâmetros!$C$33:$C$37,MATCH(B978,Parâmetros!$A$33:$A$37,0))</f>
        <v>5909.24487179487</v>
      </c>
      <c r="F978" s="7" t="n">
        <f aca="false">MAX(0,(E978-D978)/D978)</f>
        <v>0.237760378903142</v>
      </c>
      <c r="G978" s="7" t="n">
        <f aca="false">MIN(K978*Parâmetros!$B$19,Parâmetros!$B$8)</f>
        <v>0.096932144171749</v>
      </c>
      <c r="H978" s="3" t="str">
        <f aca="false">IF(F978&gt;=Parâmetros!$B$6,"Ação","Acompanhamento")</f>
        <v>Ação</v>
      </c>
      <c r="I978" s="17" t="n">
        <v>299.993403693931</v>
      </c>
      <c r="J978" s="11" t="n">
        <f aca="false">D978*I978</f>
        <v>1432211.36543536</v>
      </c>
      <c r="K978" s="7" t="n">
        <f aca="false">Parâmetros!$B$4+Parâmetros!$B$5*F978</f>
        <v>0.0794400947257855</v>
      </c>
      <c r="L978" s="11" t="n">
        <f aca="false">D978*(1+G978)</f>
        <v>5236.91076086795</v>
      </c>
      <c r="M978" s="14" t="n">
        <v>0</v>
      </c>
      <c r="N978" s="4" t="n">
        <v>0.974025974025974</v>
      </c>
      <c r="O978" s="3" t="str">
        <f aca="false">IF(AND(B978=4,M978=1),IF(N978&lt;0.8,"Subgrupo 7 dias; fronteira de cluster","Subgrupo 7 dias"),IF(N978&lt;0.8,"Fronteira de cluster",""))</f>
        <v/>
      </c>
    </row>
    <row r="979" customFormat="false" ht="15" hidden="false" customHeight="false" outlineLevel="0" collapsed="false">
      <c r="A979" s="14" t="n">
        <v>978</v>
      </c>
      <c r="B979" s="14" t="n">
        <v>0</v>
      </c>
      <c r="C979" s="14" t="s">
        <v>29</v>
      </c>
      <c r="D979" s="15" t="n">
        <v>7213.57435897436</v>
      </c>
      <c r="E979" s="16" t="n">
        <f aca="false">INDEX(Parâmetros!$C$33:$C$37,MATCH(B979,Parâmetros!$A$33:$A$37,0))</f>
        <v>5476.37033462034</v>
      </c>
      <c r="F979" s="7" t="n">
        <f aca="false">MAX(0,(E979-D979)/D979)</f>
        <v>0</v>
      </c>
      <c r="G979" s="7" t="n">
        <f aca="false">MIN(K979*Parâmetros!$B$19,Parâmetros!$B$8)</f>
        <v>0.0244038339849275</v>
      </c>
      <c r="H979" s="3" t="str">
        <f aca="false">IF(F979&gt;=Parâmetros!$B$6,"Ação","Acompanhamento")</f>
        <v>Acompanhamento</v>
      </c>
      <c r="I979" s="17" t="n">
        <v>302.229299363057</v>
      </c>
      <c r="J979" s="11" t="n">
        <f aca="false">D979*I979</f>
        <v>2180153.52441614</v>
      </c>
      <c r="K979" s="7" t="n">
        <f aca="false">Parâmetros!$B$4+Parâmetros!$B$5*F979</f>
        <v>0.02</v>
      </c>
      <c r="L979" s="11" t="n">
        <f aca="false">D979*(1+G979)</f>
        <v>7389.6132300687</v>
      </c>
      <c r="M979" s="14" t="n">
        <v>0</v>
      </c>
      <c r="N979" s="4" t="n">
        <v>0.960526315789474</v>
      </c>
      <c r="O979" s="3" t="str">
        <f aca="false">IF(AND(B979=4,M979=1),IF(N979&lt;0.8,"Subgrupo 7 dias; fronteira de cluster","Subgrupo 7 dias"),IF(N979&lt;0.8,"Fronteira de cluster",""))</f>
        <v/>
      </c>
    </row>
    <row r="980" customFormat="false" ht="15" hidden="false" customHeight="false" outlineLevel="0" collapsed="false">
      <c r="A980" s="14" t="n">
        <v>979</v>
      </c>
      <c r="B980" s="14" t="n">
        <v>0</v>
      </c>
      <c r="C980" s="14" t="s">
        <v>29</v>
      </c>
      <c r="D980" s="15" t="n">
        <v>6264.46035805627</v>
      </c>
      <c r="E980" s="16" t="n">
        <f aca="false">INDEX(Parâmetros!$C$33:$C$37,MATCH(B980,Parâmetros!$A$33:$A$37,0))</f>
        <v>5476.37033462034</v>
      </c>
      <c r="F980" s="7" t="n">
        <f aca="false">MAX(0,(E980-D980)/D980)</f>
        <v>0</v>
      </c>
      <c r="G980" s="7" t="n">
        <f aca="false">MIN(K980*Parâmetros!$B$19,Parâmetros!$B$8)</f>
        <v>0.0244038339849275</v>
      </c>
      <c r="H980" s="3" t="str">
        <f aca="false">IF(F980&gt;=Parâmetros!$B$6,"Ação","Acompanhamento")</f>
        <v>Acompanhamento</v>
      </c>
      <c r="I980" s="17" t="n">
        <v>303.004246284501</v>
      </c>
      <c r="J980" s="11" t="n">
        <f aca="false">D980*I980</f>
        <v>1898158.08917198</v>
      </c>
      <c r="K980" s="7" t="n">
        <f aca="false">Parâmetros!$B$4+Parâmetros!$B$5*F980</f>
        <v>0.02</v>
      </c>
      <c r="L980" s="11" t="n">
        <f aca="false">D980*(1+G980)</f>
        <v>6417.33720863943</v>
      </c>
      <c r="M980" s="14" t="n">
        <v>0</v>
      </c>
      <c r="N980" s="4" t="n">
        <v>0.6</v>
      </c>
      <c r="O980" s="3" t="str">
        <f aca="false">IF(AND(B980=4,M980=1),IF(N980&lt;0.8,"Subgrupo 7 dias; fronteira de cluster","Subgrupo 7 dias"),IF(N980&lt;0.8,"Fronteira de cluster",""))</f>
        <v>Fronteira de cluster</v>
      </c>
    </row>
    <row r="981" customFormat="false" ht="15" hidden="false" customHeight="false" outlineLevel="0" collapsed="false">
      <c r="A981" s="14" t="n">
        <v>980</v>
      </c>
      <c r="B981" s="14" t="n">
        <v>1</v>
      </c>
      <c r="C981" s="14" t="s">
        <v>30</v>
      </c>
      <c r="D981" s="15" t="n">
        <v>7019.6161745828</v>
      </c>
      <c r="E981" s="16" t="n">
        <f aca="false">INDEX(Parâmetros!$C$33:$C$37,MATCH(B981,Parâmetros!$A$33:$A$37,0))</f>
        <v>6959.92435130262</v>
      </c>
      <c r="F981" s="7" t="n">
        <f aca="false">MAX(0,(E981-D981)/D981)</f>
        <v>0</v>
      </c>
      <c r="G981" s="7" t="n">
        <f aca="false">MIN(K981*Parâmetros!$B$19,Parâmetros!$B$8)</f>
        <v>0.0244038339849275</v>
      </c>
      <c r="H981" s="3" t="str">
        <f aca="false">IF(F981&gt;=Parâmetros!$B$6,"Ação","Acompanhamento")</f>
        <v>Acompanhamento</v>
      </c>
      <c r="I981" s="17" t="n">
        <v>301.841825902336</v>
      </c>
      <c r="J981" s="11" t="n">
        <f aca="false">D981*I981</f>
        <v>2118813.76326964</v>
      </c>
      <c r="K981" s="7" t="n">
        <f aca="false">Parâmetros!$B$4+Parâmetros!$B$5*F981</f>
        <v>0.02</v>
      </c>
      <c r="L981" s="11" t="n">
        <f aca="false">D981*(1+G981)</f>
        <v>7190.92172234523</v>
      </c>
      <c r="M981" s="14" t="n">
        <v>0</v>
      </c>
      <c r="N981" s="4" t="n">
        <v>1</v>
      </c>
      <c r="O981" s="3" t="str">
        <f aca="false">IF(AND(B981=4,M981=1),IF(N981&lt;0.8,"Subgrupo 7 dias; fronteira de cluster","Subgrupo 7 dias"),IF(N981&lt;0.8,"Fronteira de cluster",""))</f>
        <v/>
      </c>
    </row>
    <row r="982" customFormat="false" ht="15" hidden="false" customHeight="false" outlineLevel="0" collapsed="false">
      <c r="A982" s="14" t="n">
        <v>981</v>
      </c>
      <c r="B982" s="14" t="n">
        <v>1</v>
      </c>
      <c r="C982" s="14" t="s">
        <v>30</v>
      </c>
      <c r="D982" s="15" t="n">
        <v>7308.91282051282</v>
      </c>
      <c r="E982" s="16" t="n">
        <f aca="false">INDEX(Parâmetros!$C$33:$C$37,MATCH(B982,Parâmetros!$A$33:$A$37,0))</f>
        <v>6959.92435130262</v>
      </c>
      <c r="F982" s="7" t="n">
        <f aca="false">MAX(0,(E982-D982)/D982)</f>
        <v>0</v>
      </c>
      <c r="G982" s="7" t="n">
        <f aca="false">MIN(K982*Parâmetros!$B$19,Parâmetros!$B$8)</f>
        <v>0.0244038339849275</v>
      </c>
      <c r="H982" s="3" t="str">
        <f aca="false">IF(F982&gt;=Parâmetros!$B$6,"Ação","Acompanhamento")</f>
        <v>Acompanhamento</v>
      </c>
      <c r="I982" s="17" t="n">
        <v>302.229299363057</v>
      </c>
      <c r="J982" s="11" t="n">
        <f aca="false">D982*I982</f>
        <v>2208967.60084926</v>
      </c>
      <c r="K982" s="7" t="n">
        <f aca="false">Parâmetros!$B$4+Parâmetros!$B$5*F982</f>
        <v>0.02</v>
      </c>
      <c r="L982" s="11" t="n">
        <f aca="false">D982*(1+G982)</f>
        <v>7487.27831559492</v>
      </c>
      <c r="M982" s="14" t="n">
        <v>0</v>
      </c>
      <c r="N982" s="4" t="n">
        <v>1</v>
      </c>
      <c r="O982" s="3" t="str">
        <f aca="false">IF(AND(B982=4,M982=1),IF(N982&lt;0.8,"Subgrupo 7 dias; fronteira de cluster","Subgrupo 7 dias"),IF(N982&lt;0.8,"Fronteira de cluster",""))</f>
        <v/>
      </c>
    </row>
    <row r="983" customFormat="false" ht="15" hidden="false" customHeight="false" outlineLevel="0" collapsed="false">
      <c r="A983" s="14" t="n">
        <v>982</v>
      </c>
      <c r="B983" s="14" t="n">
        <v>1</v>
      </c>
      <c r="C983" s="14" t="s">
        <v>30</v>
      </c>
      <c r="D983" s="15" t="n">
        <v>8058.27948717949</v>
      </c>
      <c r="E983" s="16" t="n">
        <f aca="false">INDEX(Parâmetros!$C$33:$C$37,MATCH(B983,Parâmetros!$A$33:$A$37,0))</f>
        <v>6959.92435130262</v>
      </c>
      <c r="F983" s="7" t="n">
        <f aca="false">MAX(0,(E983-D983)/D983)</f>
        <v>0</v>
      </c>
      <c r="G983" s="7" t="n">
        <f aca="false">MIN(K983*Parâmetros!$B$19,Parâmetros!$B$8)</f>
        <v>0.0244038339849275</v>
      </c>
      <c r="H983" s="3" t="str">
        <f aca="false">IF(F983&gt;=Parâmetros!$B$6,"Ação","Acompanhamento")</f>
        <v>Acompanhamento</v>
      </c>
      <c r="I983" s="17" t="n">
        <v>302.229299363057</v>
      </c>
      <c r="J983" s="11" t="n">
        <f aca="false">D983*I983</f>
        <v>2435448.16348195</v>
      </c>
      <c r="K983" s="7" t="n">
        <f aca="false">Parâmetros!$B$4+Parâmetros!$B$5*F983</f>
        <v>0.02</v>
      </c>
      <c r="L983" s="11" t="n">
        <f aca="false">D983*(1+G983)</f>
        <v>8254.93240198876</v>
      </c>
      <c r="M983" s="14" t="n">
        <v>0</v>
      </c>
      <c r="N983" s="4" t="n">
        <v>1</v>
      </c>
      <c r="O983" s="3" t="str">
        <f aca="false">IF(AND(B983=4,M983=1),IF(N983&lt;0.8,"Subgrupo 7 dias; fronteira de cluster","Subgrupo 7 dias"),IF(N983&lt;0.8,"Fronteira de cluster",""))</f>
        <v/>
      </c>
    </row>
    <row r="984" customFormat="false" ht="15" hidden="false" customHeight="false" outlineLevel="0" collapsed="false">
      <c r="A984" s="14" t="n">
        <v>983</v>
      </c>
      <c r="B984" s="14" t="n">
        <v>4</v>
      </c>
      <c r="C984" s="14" t="s">
        <v>33</v>
      </c>
      <c r="D984" s="15" t="n">
        <v>10286.3691709845</v>
      </c>
      <c r="E984" s="16" t="n">
        <f aca="false">INDEX(Parâmetros!$C$33:$C$37,MATCH(B984,Parâmetros!$A$33:$A$37,0))</f>
        <v>8837.10512820513</v>
      </c>
      <c r="F984" s="7" t="n">
        <f aca="false">MAX(0,(E984-D984)/D984)</f>
        <v>0</v>
      </c>
      <c r="G984" s="7" t="n">
        <f aca="false">MIN(K984*Parâmetros!$B$19,Parâmetros!$B$8)</f>
        <v>0.0244038339849275</v>
      </c>
      <c r="H984" s="3" t="str">
        <f aca="false">IF(F984&gt;=Parâmetros!$B$6,"Ação","Acompanhamento")</f>
        <v>Acompanhamento</v>
      </c>
      <c r="I984" s="17" t="n">
        <v>299.904458598726</v>
      </c>
      <c r="J984" s="11" t="n">
        <f aca="false">D984*I984</f>
        <v>3084927.97717072</v>
      </c>
      <c r="K984" s="7" t="n">
        <f aca="false">Parâmetros!$B$4+Parâmetros!$B$5*F984</f>
        <v>0.02</v>
      </c>
      <c r="L984" s="11" t="n">
        <f aca="false">D984*(1+G984)</f>
        <v>10537.3960165408</v>
      </c>
      <c r="M984" s="14" t="n">
        <v>0</v>
      </c>
      <c r="N984" s="4" t="n">
        <v>0.841463414634146</v>
      </c>
      <c r="O984" s="3" t="str">
        <f aca="false">IF(AND(B984=4,M984=1),IF(N984&lt;0.8,"Subgrupo 7 dias; fronteira de cluster","Subgrupo 7 dias"),IF(N984&lt;0.8,"Fronteira de cluster",""))</f>
        <v/>
      </c>
    </row>
    <row r="985" customFormat="false" ht="15" hidden="false" customHeight="false" outlineLevel="0" collapsed="false">
      <c r="A985" s="14" t="n">
        <v>984</v>
      </c>
      <c r="B985" s="14" t="n">
        <v>0</v>
      </c>
      <c r="C985" s="14" t="s">
        <v>29</v>
      </c>
      <c r="D985" s="15" t="n">
        <v>6067.21907216495</v>
      </c>
      <c r="E985" s="16" t="n">
        <f aca="false">INDEX(Parâmetros!$C$33:$C$37,MATCH(B985,Parâmetros!$A$33:$A$37,0))</f>
        <v>5476.37033462034</v>
      </c>
      <c r="F985" s="7" t="n">
        <f aca="false">MAX(0,(E985-D985)/D985)</f>
        <v>0</v>
      </c>
      <c r="G985" s="7" t="n">
        <f aca="false">MIN(K985*Parâmetros!$B$19,Parâmetros!$B$8)</f>
        <v>0.0244038339849275</v>
      </c>
      <c r="H985" s="3" t="str">
        <f aca="false">IF(F985&gt;=Parâmetros!$B$6,"Ação","Acompanhamento")</f>
        <v>Acompanhamento</v>
      </c>
      <c r="I985" s="17" t="n">
        <v>300.67940552017</v>
      </c>
      <c r="J985" s="11" t="n">
        <f aca="false">D985*I985</f>
        <v>1824287.82377919</v>
      </c>
      <c r="K985" s="7" t="n">
        <f aca="false">Parâmetros!$B$4+Parâmetros!$B$5*F985</f>
        <v>0.02</v>
      </c>
      <c r="L985" s="11" t="n">
        <f aca="false">D985*(1+G985)</f>
        <v>6215.28247915225</v>
      </c>
      <c r="M985" s="14" t="n">
        <v>0</v>
      </c>
      <c r="N985" s="4" t="n">
        <v>0.975308641975309</v>
      </c>
      <c r="O985" s="3" t="str">
        <f aca="false">IF(AND(B985=4,M985=1),IF(N985&lt;0.8,"Subgrupo 7 dias; fronteira de cluster","Subgrupo 7 dias"),IF(N985&lt;0.8,"Fronteira de cluster",""))</f>
        <v/>
      </c>
    </row>
    <row r="986" customFormat="false" ht="15" hidden="false" customHeight="false" outlineLevel="0" collapsed="false">
      <c r="A986" s="14" t="n">
        <v>985</v>
      </c>
      <c r="B986" s="14" t="n">
        <v>1</v>
      </c>
      <c r="C986" s="14" t="s">
        <v>30</v>
      </c>
      <c r="D986" s="15" t="n">
        <v>8387.25868725869</v>
      </c>
      <c r="E986" s="16" t="n">
        <f aca="false">INDEX(Parâmetros!$C$33:$C$37,MATCH(B986,Parâmetros!$A$33:$A$37,0))</f>
        <v>6959.92435130262</v>
      </c>
      <c r="F986" s="7" t="n">
        <f aca="false">MAX(0,(E986-D986)/D986)</f>
        <v>0</v>
      </c>
      <c r="G986" s="7" t="n">
        <f aca="false">MIN(K986*Parâmetros!$B$19,Parâmetros!$B$8)</f>
        <v>0.0244038339849275</v>
      </c>
      <c r="H986" s="3" t="str">
        <f aca="false">IF(F986&gt;=Parâmetros!$B$6,"Ação","Acompanhamento")</f>
        <v>Acompanhamento</v>
      </c>
      <c r="I986" s="17" t="n">
        <v>301.066878980892</v>
      </c>
      <c r="J986" s="11" t="n">
        <f aca="false">D986*I986</f>
        <v>2525125.79617834</v>
      </c>
      <c r="K986" s="7" t="n">
        <f aca="false">Parâmetros!$B$4+Parâmetros!$B$5*F986</f>
        <v>0.02</v>
      </c>
      <c r="L986" s="11" t="n">
        <f aca="false">D986*(1+G986)</f>
        <v>8591.93995585119</v>
      </c>
      <c r="M986" s="14" t="n">
        <v>0</v>
      </c>
      <c r="N986" s="4" t="n">
        <v>1</v>
      </c>
      <c r="O986" s="3" t="str">
        <f aca="false">IF(AND(B986=4,M986=1),IF(N986&lt;0.8,"Subgrupo 7 dias; fronteira de cluster","Subgrupo 7 dias"),IF(N986&lt;0.8,"Fronteira de cluster",""))</f>
        <v/>
      </c>
    </row>
    <row r="987" customFormat="false" ht="15" hidden="false" customHeight="false" outlineLevel="0" collapsed="false">
      <c r="A987" s="14" t="n">
        <v>986</v>
      </c>
      <c r="B987" s="14" t="n">
        <v>0</v>
      </c>
      <c r="C987" s="14" t="s">
        <v>29</v>
      </c>
      <c r="D987" s="15" t="n">
        <v>6228.32036316472</v>
      </c>
      <c r="E987" s="16" t="n">
        <f aca="false">INDEX(Parâmetros!$C$33:$C$37,MATCH(B987,Parâmetros!$A$33:$A$37,0))</f>
        <v>5476.37033462034</v>
      </c>
      <c r="F987" s="7" t="n">
        <f aca="false">MAX(0,(E987-D987)/D987)</f>
        <v>0</v>
      </c>
      <c r="G987" s="7" t="n">
        <f aca="false">MIN(K987*Parâmetros!$B$19,Parâmetros!$B$8)</f>
        <v>0.0244038339849275</v>
      </c>
      <c r="H987" s="3" t="str">
        <f aca="false">IF(F987&gt;=Parâmetros!$B$6,"Ação","Acompanhamento")</f>
        <v>Acompanhamento</v>
      </c>
      <c r="I987" s="17" t="n">
        <v>299.129511677282</v>
      </c>
      <c r="J987" s="11" t="n">
        <f aca="false">D987*I987</f>
        <v>1863074.42880314</v>
      </c>
      <c r="K987" s="7" t="n">
        <f aca="false">Parâmetros!$B$4+Parâmetros!$B$5*F987</f>
        <v>0.02</v>
      </c>
      <c r="L987" s="11" t="n">
        <f aca="false">D987*(1+G987)</f>
        <v>6380.31525931234</v>
      </c>
      <c r="M987" s="14" t="n">
        <v>0</v>
      </c>
      <c r="N987" s="4" t="n">
        <v>0.946666666666667</v>
      </c>
      <c r="O987" s="3" t="str">
        <f aca="false">IF(AND(B987=4,M987=1),IF(N987&lt;0.8,"Subgrupo 7 dias; fronteira de cluster","Subgrupo 7 dias"),IF(N987&lt;0.8,"Fronteira de cluster",""))</f>
        <v/>
      </c>
    </row>
    <row r="988" customFormat="false" ht="15" hidden="false" customHeight="false" outlineLevel="0" collapsed="false">
      <c r="A988" s="14" t="n">
        <v>987</v>
      </c>
      <c r="B988" s="14" t="n">
        <v>0</v>
      </c>
      <c r="C988" s="14" t="s">
        <v>29</v>
      </c>
      <c r="D988" s="15" t="n">
        <v>6847.35586734694</v>
      </c>
      <c r="E988" s="16" t="n">
        <f aca="false">INDEX(Parâmetros!$C$33:$C$37,MATCH(B988,Parâmetros!$A$33:$A$37,0))</f>
        <v>5476.37033462034</v>
      </c>
      <c r="F988" s="7" t="n">
        <f aca="false">MAX(0,(E988-D988)/D988)</f>
        <v>0</v>
      </c>
      <c r="G988" s="7" t="n">
        <f aca="false">MIN(K988*Parâmetros!$B$19,Parâmetros!$B$8)</f>
        <v>0.0244038339849275</v>
      </c>
      <c r="H988" s="3" t="str">
        <f aca="false">IF(F988&gt;=Parâmetros!$B$6,"Ação","Acompanhamento")</f>
        <v>Acompanhamento</v>
      </c>
      <c r="I988" s="17" t="n">
        <v>303.779193205945</v>
      </c>
      <c r="J988" s="11" t="n">
        <f aca="false">D988*I988</f>
        <v>2080084.24097665</v>
      </c>
      <c r="K988" s="7" t="n">
        <f aca="false">Parâmetros!$B$4+Parâmetros!$B$5*F988</f>
        <v>0.02</v>
      </c>
      <c r="L988" s="11" t="n">
        <f aca="false">D988*(1+G988)</f>
        <v>7014.45760316939</v>
      </c>
      <c r="M988" s="14" t="n">
        <v>0</v>
      </c>
      <c r="N988" s="4" t="n">
        <v>1</v>
      </c>
      <c r="O988" s="3" t="str">
        <f aca="false">IF(AND(B988=4,M988=1),IF(N988&lt;0.8,"Subgrupo 7 dias; fronteira de cluster","Subgrupo 7 dias"),IF(N988&lt;0.8,"Fronteira de cluster",""))</f>
        <v/>
      </c>
    </row>
    <row r="989" customFormat="false" ht="15" hidden="false" customHeight="false" outlineLevel="0" collapsed="false">
      <c r="A989" s="14" t="n">
        <v>988</v>
      </c>
      <c r="B989" s="14" t="n">
        <v>0</v>
      </c>
      <c r="C989" s="14" t="s">
        <v>29</v>
      </c>
      <c r="D989" s="15" t="n">
        <v>4698.07142857143</v>
      </c>
      <c r="E989" s="16" t="n">
        <f aca="false">INDEX(Parâmetros!$C$33:$C$37,MATCH(B989,Parâmetros!$A$33:$A$37,0))</f>
        <v>5476.37033462034</v>
      </c>
      <c r="F989" s="7" t="n">
        <f aca="false">MAX(0,(E989-D989)/D989)</f>
        <v>0.165663489344939</v>
      </c>
      <c r="G989" s="7" t="n">
        <f aca="false">MIN(K989*Parâmetros!$B$19,Parâmetros!$B$8)</f>
        <v>0.0749391376266486</v>
      </c>
      <c r="H989" s="3" t="str">
        <f aca="false">IF(F989&gt;=Parâmetros!$B$6,"Ação","Acompanhamento")</f>
        <v>Ação</v>
      </c>
      <c r="I989" s="17" t="n">
        <v>304.102019128587</v>
      </c>
      <c r="J989" s="11" t="n">
        <f aca="false">D989*I989</f>
        <v>1428693.00743889</v>
      </c>
      <c r="K989" s="7" t="n">
        <f aca="false">Parâmetros!$B$4+Parâmetros!$B$5*F989</f>
        <v>0.0614158723362348</v>
      </c>
      <c r="L989" s="11" t="n">
        <f aca="false">D989*(1+G989)</f>
        <v>5050.14084993697</v>
      </c>
      <c r="M989" s="14" t="n">
        <v>0</v>
      </c>
      <c r="N989" s="4" t="n">
        <v>0.786666666666667</v>
      </c>
      <c r="O989" s="3" t="str">
        <f aca="false">IF(AND(B989=4,M989=1),IF(N989&lt;0.8,"Subgrupo 7 dias; fronteira de cluster","Subgrupo 7 dias"),IF(N989&lt;0.8,"Fronteira de cluster",""))</f>
        <v>Fronteira de cluster</v>
      </c>
    </row>
    <row r="990" customFormat="false" ht="15" hidden="false" customHeight="false" outlineLevel="0" collapsed="false">
      <c r="A990" s="14" t="n">
        <v>989</v>
      </c>
      <c r="B990" s="14" t="n">
        <v>0</v>
      </c>
      <c r="C990" s="14" t="s">
        <v>29</v>
      </c>
      <c r="D990" s="15" t="n">
        <v>5242.46302250804</v>
      </c>
      <c r="E990" s="16" t="n">
        <f aca="false">INDEX(Parâmetros!$C$33:$C$37,MATCH(B990,Parâmetros!$A$33:$A$37,0))</f>
        <v>5476.37033462034</v>
      </c>
      <c r="F990" s="7" t="n">
        <f aca="false">MAX(0,(E990-D990)/D990)</f>
        <v>0.044617827747766</v>
      </c>
      <c r="G990" s="7" t="n">
        <f aca="false">MIN(K990*Parâmetros!$B$19,Parâmetros!$B$8)</f>
        <v>0.0380144097489846</v>
      </c>
      <c r="H990" s="3" t="str">
        <f aca="false">IF(F990&gt;=Parâmetros!$B$6,"Ação","Acompanhamento")</f>
        <v>Acompanhamento</v>
      </c>
      <c r="I990" s="17" t="n">
        <v>299.511873350924</v>
      </c>
      <c r="J990" s="11" t="n">
        <f aca="false">D990*I990</f>
        <v>1570179.92084433</v>
      </c>
      <c r="K990" s="7" t="n">
        <f aca="false">Parâmetros!$B$4+Parâmetros!$B$5*F990</f>
        <v>0.0311544569369415</v>
      </c>
      <c r="L990" s="11" t="n">
        <f aca="false">D990*(1+G990)</f>
        <v>5441.75215993956</v>
      </c>
      <c r="M990" s="14" t="n">
        <v>0</v>
      </c>
      <c r="N990" s="4" t="n">
        <v>1</v>
      </c>
      <c r="O990" s="3" t="str">
        <f aca="false">IF(AND(B990=4,M990=1),IF(N990&lt;0.8,"Subgrupo 7 dias; fronteira de cluster","Subgrupo 7 dias"),IF(N990&lt;0.8,"Fronteira de cluster",""))</f>
        <v/>
      </c>
    </row>
    <row r="991" customFormat="false" ht="15" hidden="false" customHeight="false" outlineLevel="0" collapsed="false">
      <c r="A991" s="14" t="n">
        <v>990</v>
      </c>
      <c r="B991" s="14" t="n">
        <v>1</v>
      </c>
      <c r="C991" s="14" t="s">
        <v>30</v>
      </c>
      <c r="D991" s="15" t="n">
        <v>6409.13461538462</v>
      </c>
      <c r="E991" s="16" t="n">
        <f aca="false">INDEX(Parâmetros!$C$33:$C$37,MATCH(B991,Parâmetros!$A$33:$A$37,0))</f>
        <v>6959.92435130262</v>
      </c>
      <c r="F991" s="7" t="n">
        <f aca="false">MAX(0,(E991-D991)/D991)</f>
        <v>0.085938237994858</v>
      </c>
      <c r="G991" s="7" t="n">
        <f aca="false">MIN(K991*Parâmetros!$B$19,Parâmetros!$B$8)</f>
        <v>0.0506191151472237</v>
      </c>
      <c r="H991" s="3" t="str">
        <f aca="false">IF(F991&gt;=Parâmetros!$B$6,"Ação","Acompanhamento")</f>
        <v>Acompanhamento</v>
      </c>
      <c r="I991" s="17" t="n">
        <v>302.229299363057</v>
      </c>
      <c r="J991" s="11" t="n">
        <f aca="false">D991*I991</f>
        <v>1937028.26433121</v>
      </c>
      <c r="K991" s="7" t="n">
        <f aca="false">Parâmetros!$B$4+Parâmetros!$B$5*F991</f>
        <v>0.0414845594987145</v>
      </c>
      <c r="L991" s="11" t="n">
        <f aca="false">D991*(1+G991)</f>
        <v>6733.55933847483</v>
      </c>
      <c r="M991" s="14" t="n">
        <v>0</v>
      </c>
      <c r="N991" s="4" t="n">
        <v>1</v>
      </c>
      <c r="O991" s="3" t="str">
        <f aca="false">IF(AND(B991=4,M991=1),IF(N991&lt;0.8,"Subgrupo 7 dias; fronteira de cluster","Subgrupo 7 dias"),IF(N991&lt;0.8,"Fronteira de cluster",""))</f>
        <v/>
      </c>
    </row>
    <row r="992" customFormat="false" ht="15" hidden="false" customHeight="false" outlineLevel="0" collapsed="false">
      <c r="A992" s="14" t="n">
        <v>991</v>
      </c>
      <c r="B992" s="14" t="n">
        <v>1</v>
      </c>
      <c r="C992" s="14" t="s">
        <v>30</v>
      </c>
      <c r="D992" s="15" t="n">
        <v>5756.76508344031</v>
      </c>
      <c r="E992" s="16" t="n">
        <f aca="false">INDEX(Parâmetros!$C$33:$C$37,MATCH(B992,Parâmetros!$A$33:$A$37,0))</f>
        <v>6959.92435130262</v>
      </c>
      <c r="F992" s="7" t="n">
        <f aca="false">MAX(0,(E992-D992)/D992)</f>
        <v>0.208999194933848</v>
      </c>
      <c r="G992" s="7" t="n">
        <f aca="false">MIN(K992*Parâmetros!$B$19,Parâmetros!$B$8)</f>
        <v>0.0881586046867915</v>
      </c>
      <c r="H992" s="3" t="str">
        <f aca="false">IF(F992&gt;=Parâmetros!$B$6,"Ação","Acompanhamento")</f>
        <v>Ação</v>
      </c>
      <c r="I992" s="17" t="n">
        <v>301.841825902336</v>
      </c>
      <c r="J992" s="11" t="n">
        <f aca="false">D992*I992</f>
        <v>1737632.48407643</v>
      </c>
      <c r="K992" s="7" t="n">
        <f aca="false">Parâmetros!$B$4+Parâmetros!$B$5*F992</f>
        <v>0.0722497987334621</v>
      </c>
      <c r="L992" s="11" t="n">
        <f aca="false">D992*(1+G992)</f>
        <v>6264.27346070605</v>
      </c>
      <c r="M992" s="14" t="n">
        <v>0</v>
      </c>
      <c r="N992" s="4" t="n">
        <v>1</v>
      </c>
      <c r="O992" s="3" t="str">
        <f aca="false">IF(AND(B992=4,M992=1),IF(N992&lt;0.8,"Subgrupo 7 dias; fronteira de cluster","Subgrupo 7 dias"),IF(N992&lt;0.8,"Fronteira de cluster",""))</f>
        <v/>
      </c>
    </row>
    <row r="993" customFormat="false" ht="15" hidden="false" customHeight="false" outlineLevel="0" collapsed="false">
      <c r="A993" s="14" t="n">
        <v>992</v>
      </c>
      <c r="B993" s="14" t="n">
        <v>0</v>
      </c>
      <c r="C993" s="14" t="s">
        <v>29</v>
      </c>
      <c r="D993" s="15" t="n">
        <v>5715.99101412067</v>
      </c>
      <c r="E993" s="16" t="n">
        <f aca="false">INDEX(Parâmetros!$C$33:$C$37,MATCH(B993,Parâmetros!$A$33:$A$37,0))</f>
        <v>5476.37033462034</v>
      </c>
      <c r="F993" s="7" t="n">
        <f aca="false">MAX(0,(E993-D993)/D993)</f>
        <v>0</v>
      </c>
      <c r="G993" s="7" t="n">
        <f aca="false">MIN(K993*Parâmetros!$B$19,Parâmetros!$B$8)</f>
        <v>0.0244038339849275</v>
      </c>
      <c r="H993" s="3" t="str">
        <f aca="false">IF(F993&gt;=Parâmetros!$B$6,"Ação","Acompanhamento")</f>
        <v>Acompanhamento</v>
      </c>
      <c r="I993" s="17" t="n">
        <v>301.841825902336</v>
      </c>
      <c r="J993" s="11" t="n">
        <f aca="false">D993*I993</f>
        <v>1725325.16454352</v>
      </c>
      <c r="K993" s="7" t="n">
        <f aca="false">Parâmetros!$B$4+Parâmetros!$B$5*F993</f>
        <v>0.02</v>
      </c>
      <c r="L993" s="11" t="n">
        <f aca="false">D993*(1+G993)</f>
        <v>5855.48310988861</v>
      </c>
      <c r="M993" s="14" t="n">
        <v>0</v>
      </c>
      <c r="N993" s="4" t="n">
        <v>1</v>
      </c>
      <c r="O993" s="3" t="str">
        <f aca="false">IF(AND(B993=4,M993=1),IF(N993&lt;0.8,"Subgrupo 7 dias; fronteira de cluster","Subgrupo 7 dias"),IF(N993&lt;0.8,"Fronteira de cluster",""))</f>
        <v/>
      </c>
    </row>
    <row r="994" customFormat="false" ht="15" hidden="false" customHeight="false" outlineLevel="0" collapsed="false">
      <c r="A994" s="14" t="n">
        <v>993</v>
      </c>
      <c r="B994" s="14" t="n">
        <v>1</v>
      </c>
      <c r="C994" s="14" t="s">
        <v>30</v>
      </c>
      <c r="D994" s="15" t="n">
        <v>7618.02948717949</v>
      </c>
      <c r="E994" s="16" t="n">
        <f aca="false">INDEX(Parâmetros!$C$33:$C$37,MATCH(B994,Parâmetros!$A$33:$A$37,0))</f>
        <v>6959.92435130262</v>
      </c>
      <c r="F994" s="7" t="n">
        <f aca="false">MAX(0,(E994-D994)/D994)</f>
        <v>0</v>
      </c>
      <c r="G994" s="7" t="n">
        <f aca="false">MIN(K994*Parâmetros!$B$19,Parâmetros!$B$8)</f>
        <v>0.0244038339849275</v>
      </c>
      <c r="H994" s="3" t="str">
        <f aca="false">IF(F994&gt;=Parâmetros!$B$6,"Ação","Acompanhamento")</f>
        <v>Acompanhamento</v>
      </c>
      <c r="I994" s="17" t="n">
        <v>302.229299363057</v>
      </c>
      <c r="J994" s="11" t="n">
        <f aca="false">D994*I994</f>
        <v>2302391.71443737</v>
      </c>
      <c r="K994" s="7" t="n">
        <f aca="false">Parâmetros!$B$4+Parâmetros!$B$5*F994</f>
        <v>0.02</v>
      </c>
      <c r="L994" s="11" t="n">
        <f aca="false">D994*(1+G994)</f>
        <v>7803.9386140769</v>
      </c>
      <c r="M994" s="14" t="n">
        <v>0</v>
      </c>
      <c r="N994" s="4" t="n">
        <v>1</v>
      </c>
      <c r="O994" s="3" t="str">
        <f aca="false">IF(AND(B994=4,M994=1),IF(N994&lt;0.8,"Subgrupo 7 dias; fronteira de cluster","Subgrupo 7 dias"),IF(N994&lt;0.8,"Fronteira de cluster",""))</f>
        <v/>
      </c>
    </row>
    <row r="995" customFormat="false" ht="15" hidden="false" customHeight="false" outlineLevel="0" collapsed="false">
      <c r="A995" s="14" t="n">
        <v>994</v>
      </c>
      <c r="B995" s="14" t="n">
        <v>3</v>
      </c>
      <c r="C995" s="14" t="s">
        <v>32</v>
      </c>
      <c r="D995" s="15" t="n">
        <v>4539.51604621309</v>
      </c>
      <c r="E995" s="16" t="n">
        <f aca="false">INDEX(Parâmetros!$C$33:$C$37,MATCH(B995,Parâmetros!$A$33:$A$37,0))</f>
        <v>5909.24487179487</v>
      </c>
      <c r="F995" s="7" t="n">
        <f aca="false">MAX(0,(E995-D995)/D995)</f>
        <v>0.301734548713495</v>
      </c>
      <c r="G995" s="7" t="n">
        <f aca="false">MIN(K995*Parâmetros!$B$19,Parâmetros!$B$8)</f>
        <v>0.116447331913942</v>
      </c>
      <c r="H995" s="3" t="str">
        <f aca="false">IF(F995&gt;=Parâmetros!$B$6,"Ação","Acompanhamento")</f>
        <v>Ação</v>
      </c>
      <c r="I995" s="17" t="n">
        <v>301.841825902336</v>
      </c>
      <c r="J995" s="11" t="n">
        <f aca="false">D995*I995</f>
        <v>1370215.81210191</v>
      </c>
      <c r="K995" s="7" t="n">
        <f aca="false">Parâmetros!$B$4+Parâmetros!$B$5*F995</f>
        <v>0.0954336371783739</v>
      </c>
      <c r="L995" s="11" t="n">
        <f aca="false">D995*(1+G995)</f>
        <v>5068.13057797514</v>
      </c>
      <c r="M995" s="14" t="n">
        <v>0</v>
      </c>
      <c r="N995" s="4" t="n">
        <v>1</v>
      </c>
      <c r="O995" s="3" t="str">
        <f aca="false">IF(AND(B995=4,M995=1),IF(N995&lt;0.8,"Subgrupo 7 dias; fronteira de cluster","Subgrupo 7 dias"),IF(N995&lt;0.8,"Fronteira de cluster",""))</f>
        <v/>
      </c>
    </row>
    <row r="996" customFormat="false" ht="15" hidden="false" customHeight="false" outlineLevel="0" collapsed="false">
      <c r="A996" s="14" t="n">
        <v>995</v>
      </c>
      <c r="B996" s="14" t="n">
        <v>1</v>
      </c>
      <c r="C996" s="14" t="s">
        <v>30</v>
      </c>
      <c r="D996" s="15" t="n">
        <v>9264.34615384615</v>
      </c>
      <c r="E996" s="16" t="n">
        <f aca="false">INDEX(Parâmetros!$C$33:$C$37,MATCH(B996,Parâmetros!$A$33:$A$37,0))</f>
        <v>6959.92435130262</v>
      </c>
      <c r="F996" s="7" t="n">
        <f aca="false">MAX(0,(E996-D996)/D996)</f>
        <v>0</v>
      </c>
      <c r="G996" s="7" t="n">
        <f aca="false">MIN(K996*Parâmetros!$B$19,Parâmetros!$B$8)</f>
        <v>0.0244038339849275</v>
      </c>
      <c r="H996" s="3" t="str">
        <f aca="false">IF(F996&gt;=Parâmetros!$B$6,"Ação","Acompanhamento")</f>
        <v>Acompanhamento</v>
      </c>
      <c r="I996" s="17" t="n">
        <v>302.229299363057</v>
      </c>
      <c r="J996" s="11" t="n">
        <f aca="false">D996*I996</f>
        <v>2799956.84713376</v>
      </c>
      <c r="K996" s="7" t="n">
        <f aca="false">Parâmetros!$B$4+Parâmetros!$B$5*F996</f>
        <v>0.02</v>
      </c>
      <c r="L996" s="11" t="n">
        <f aca="false">D996*(1+G996)</f>
        <v>9490.43171936352</v>
      </c>
      <c r="M996" s="14" t="n">
        <v>0</v>
      </c>
      <c r="N996" s="4" t="n">
        <v>1</v>
      </c>
      <c r="O996" s="3" t="str">
        <f aca="false">IF(AND(B996=4,M996=1),IF(N996&lt;0.8,"Subgrupo 7 dias; fronteira de cluster","Subgrupo 7 dias"),IF(N996&lt;0.8,"Fronteira de cluster",""))</f>
        <v/>
      </c>
    </row>
    <row r="997" customFormat="false" ht="15" hidden="false" customHeight="false" outlineLevel="0" collapsed="false">
      <c r="A997" s="14" t="n">
        <v>996</v>
      </c>
      <c r="B997" s="14" t="n">
        <v>3</v>
      </c>
      <c r="C997" s="14" t="s">
        <v>32</v>
      </c>
      <c r="D997" s="15" t="n">
        <v>6510.04693611473</v>
      </c>
      <c r="E997" s="16" t="n">
        <f aca="false">INDEX(Parâmetros!$C$33:$C$37,MATCH(B997,Parâmetros!$A$33:$A$37,0))</f>
        <v>5909.24487179487</v>
      </c>
      <c r="F997" s="7" t="n">
        <f aca="false">MAX(0,(E997-D997)/D997)</f>
        <v>0</v>
      </c>
      <c r="G997" s="7" t="n">
        <f aca="false">MIN(K997*Parâmetros!$B$19,Parâmetros!$B$8)</f>
        <v>0.0244038339849275</v>
      </c>
      <c r="H997" s="3" t="str">
        <f aca="false">IF(F997&gt;=Parâmetros!$B$6,"Ação","Acompanhamento")</f>
        <v>Acompanhamento</v>
      </c>
      <c r="I997" s="17" t="n">
        <v>297.192144373673</v>
      </c>
      <c r="J997" s="11" t="n">
        <f aca="false">D997*I997</f>
        <v>1934734.8089172</v>
      </c>
      <c r="K997" s="7" t="n">
        <f aca="false">Parâmetros!$B$4+Parâmetros!$B$5*F997</f>
        <v>0.02</v>
      </c>
      <c r="L997" s="11" t="n">
        <f aca="false">D997*(1+G997)</f>
        <v>6668.91704077776</v>
      </c>
      <c r="M997" s="14" t="n">
        <v>0</v>
      </c>
      <c r="N997" s="4" t="n">
        <v>1</v>
      </c>
      <c r="O997" s="3" t="str">
        <f aca="false">IF(AND(B997=4,M997=1),IF(N997&lt;0.8,"Subgrupo 7 dias; fronteira de cluster","Subgrupo 7 dias"),IF(N997&lt;0.8,"Fronteira de cluster",""))</f>
        <v/>
      </c>
    </row>
    <row r="998" customFormat="false" ht="15" hidden="false" customHeight="false" outlineLevel="0" collapsed="false">
      <c r="A998" s="14" t="n">
        <v>997</v>
      </c>
      <c r="B998" s="14" t="n">
        <v>1</v>
      </c>
      <c r="C998" s="14" t="s">
        <v>30</v>
      </c>
      <c r="D998" s="15" t="n">
        <v>5157.91805377721</v>
      </c>
      <c r="E998" s="16" t="n">
        <f aca="false">INDEX(Parâmetros!$C$33:$C$37,MATCH(B998,Parâmetros!$A$33:$A$37,0))</f>
        <v>6959.92435130262</v>
      </c>
      <c r="F998" s="7" t="n">
        <f aca="false">MAX(0,(E998-D998)/D998)</f>
        <v>0.349366988528594</v>
      </c>
      <c r="G998" s="7" t="n">
        <f aca="false">MIN(K998*Parâmetros!$B$19,Parâmetros!$B$8)</f>
        <v>0.130977508833251</v>
      </c>
      <c r="H998" s="3" t="str">
        <f aca="false">IF(F998&gt;=Parâmetros!$B$6,"Ação","Acompanhamento")</f>
        <v>Ação</v>
      </c>
      <c r="I998" s="17" t="n">
        <v>302.616772823779</v>
      </c>
      <c r="J998" s="11" t="n">
        <f aca="false">D998*I998</f>
        <v>1560872.51592357</v>
      </c>
      <c r="K998" s="7" t="n">
        <f aca="false">Parâmetros!$B$4+Parâmetros!$B$5*F998</f>
        <v>0.107341747132149</v>
      </c>
      <c r="L998" s="11" t="n">
        <f aca="false">D998*(1+G998)</f>
        <v>5833.489311227</v>
      </c>
      <c r="M998" s="14" t="n">
        <v>0</v>
      </c>
      <c r="N998" s="4" t="n">
        <v>0.6625</v>
      </c>
      <c r="O998" s="3" t="str">
        <f aca="false">IF(AND(B998=4,M998=1),IF(N998&lt;0.8,"Subgrupo 7 dias; fronteira de cluster","Subgrupo 7 dias"),IF(N998&lt;0.8,"Fronteira de cluster",""))</f>
        <v>Fronteira de cluster</v>
      </c>
    </row>
    <row r="999" customFormat="false" ht="15" hidden="false" customHeight="false" outlineLevel="0" collapsed="false">
      <c r="A999" s="14" t="n">
        <v>998</v>
      </c>
      <c r="B999" s="14" t="n">
        <v>0</v>
      </c>
      <c r="C999" s="14" t="s">
        <v>29</v>
      </c>
      <c r="D999" s="15" t="n">
        <v>4316.9407979408</v>
      </c>
      <c r="E999" s="16" t="n">
        <f aca="false">INDEX(Parâmetros!$C$33:$C$37,MATCH(B999,Parâmetros!$A$33:$A$37,0))</f>
        <v>5476.37033462034</v>
      </c>
      <c r="F999" s="7" t="n">
        <f aca="false">MAX(0,(E999-D999)/D999)</f>
        <v>0.268576659015706</v>
      </c>
      <c r="G999" s="7" t="n">
        <f aca="false">MIN(K999*Parâmetros!$B$19,Parâmetros!$B$8)</f>
        <v>0.1063325864705</v>
      </c>
      <c r="H999" s="3" t="str">
        <f aca="false">IF(F999&gt;=Parâmetros!$B$6,"Ação","Acompanhamento")</f>
        <v>Ação</v>
      </c>
      <c r="I999" s="17" t="n">
        <v>301.066878980892</v>
      </c>
      <c r="J999" s="11" t="n">
        <f aca="false">D999*I999</f>
        <v>1299687.89278132</v>
      </c>
      <c r="K999" s="7" t="n">
        <f aca="false">Parâmetros!$B$4+Parâmetros!$B$5*F999</f>
        <v>0.0871441647539266</v>
      </c>
      <c r="L999" s="11" t="n">
        <f aca="false">D999*(1+G999)</f>
        <v>4775.97227862587</v>
      </c>
      <c r="M999" s="14" t="n">
        <v>0</v>
      </c>
      <c r="N999" s="4" t="n">
        <v>0.783132530120482</v>
      </c>
      <c r="O999" s="3" t="str">
        <f aca="false">IF(AND(B999=4,M999=1),IF(N999&lt;0.8,"Subgrupo 7 dias; fronteira de cluster","Subgrupo 7 dias"),IF(N999&lt;0.8,"Fronteira de cluster",""))</f>
        <v>Fronteira de cluster</v>
      </c>
    </row>
    <row r="1000" customFormat="false" ht="15" hidden="false" customHeight="false" outlineLevel="0" collapsed="false">
      <c r="A1000" s="14" t="n">
        <v>999</v>
      </c>
      <c r="B1000" s="14" t="n">
        <v>3</v>
      </c>
      <c r="C1000" s="14" t="s">
        <v>32</v>
      </c>
      <c r="D1000" s="15" t="n">
        <v>9183.74487179487</v>
      </c>
      <c r="E1000" s="16" t="n">
        <f aca="false">INDEX(Parâmetros!$C$33:$C$37,MATCH(B1000,Parâmetros!$A$33:$A$37,0))</f>
        <v>5909.24487179487</v>
      </c>
      <c r="F1000" s="7" t="n">
        <f aca="false">MAX(0,(E1000-D1000)/D1000)</f>
        <v>0</v>
      </c>
      <c r="G1000" s="7" t="n">
        <f aca="false">MIN(K1000*Parâmetros!$B$19,Parâmetros!$B$8)</f>
        <v>0.0244038339849275</v>
      </c>
      <c r="H1000" s="3" t="str">
        <f aca="false">IF(F1000&gt;=Parâmetros!$B$6,"Ação","Acompanhamento")</f>
        <v>Acompanhamento</v>
      </c>
      <c r="I1000" s="17" t="n">
        <v>302.229299363057</v>
      </c>
      <c r="J1000" s="11" t="n">
        <f aca="false">D1000*I1000</f>
        <v>2775596.77813163</v>
      </c>
      <c r="K1000" s="7" t="n">
        <f aca="false">Parâmetros!$B$4+Parâmetros!$B$5*F1000</f>
        <v>0.02</v>
      </c>
      <c r="L1000" s="11" t="n">
        <f aca="false">D1000*(1+G1000)</f>
        <v>9407.86345700608</v>
      </c>
      <c r="M1000" s="14" t="n">
        <v>0</v>
      </c>
      <c r="N1000" s="4" t="n">
        <v>1</v>
      </c>
      <c r="O1000" s="3" t="str">
        <f aca="false">IF(AND(B1000=4,M1000=1),IF(N1000&lt;0.8,"Subgrupo 7 dias; fronteira de cluster","Subgrupo 7 dias"),IF(N1000&lt;0.8,"Fronteira de cluster",""))</f>
        <v/>
      </c>
    </row>
    <row r="1001" customFormat="false" ht="15" hidden="false" customHeight="false" outlineLevel="0" collapsed="false">
      <c r="A1001" s="14" t="n">
        <v>1000</v>
      </c>
      <c r="B1001" s="14" t="n">
        <v>1</v>
      </c>
      <c r="C1001" s="14" t="s">
        <v>30</v>
      </c>
      <c r="D1001" s="15" t="n">
        <v>7452.61254019293</v>
      </c>
      <c r="E1001" s="16" t="n">
        <f aca="false">INDEX(Parâmetros!$C$33:$C$37,MATCH(B1001,Parâmetros!$A$33:$A$37,0))</f>
        <v>6959.92435130262</v>
      </c>
      <c r="F1001" s="7" t="n">
        <f aca="false">MAX(0,(E1001-D1001)/D1001)</f>
        <v>0</v>
      </c>
      <c r="G1001" s="7" t="n">
        <f aca="false">MIN(K1001*Parâmetros!$B$19,Parâmetros!$B$8)</f>
        <v>0.0244038339849275</v>
      </c>
      <c r="H1001" s="3" t="str">
        <f aca="false">IF(F1001&gt;=Parâmetros!$B$6,"Ação","Acompanhamento")</f>
        <v>Acompanhamento</v>
      </c>
      <c r="I1001" s="17" t="n">
        <v>299.511873350924</v>
      </c>
      <c r="J1001" s="11" t="n">
        <f aca="false">D1001*I1001</f>
        <v>2232145.94327177</v>
      </c>
      <c r="K1001" s="7" t="n">
        <f aca="false">Parâmetros!$B$4+Parâmetros!$B$5*F1001</f>
        <v>0.02</v>
      </c>
      <c r="L1001" s="11" t="n">
        <f aca="false">D1001*(1+G1001)</f>
        <v>7634.48485937778</v>
      </c>
      <c r="M1001" s="14" t="n">
        <v>0</v>
      </c>
      <c r="N1001" s="4" t="n">
        <v>0.986842105263158</v>
      </c>
      <c r="O1001" s="3" t="str">
        <f aca="false">IF(AND(B1001=4,M1001=1),IF(N1001&lt;0.8,"Subgrupo 7 dias; fronteira de cluster","Subgrupo 7 dias"),IF(N1001&lt;0.8,"Fronteira de cluster",""))</f>
        <v/>
      </c>
    </row>
    <row r="1002" customFormat="false" ht="15" hidden="false" customHeight="false" outlineLevel="0" collapsed="false">
      <c r="A1002" s="14" t="n">
        <v>1001</v>
      </c>
      <c r="B1002" s="14" t="n">
        <v>3</v>
      </c>
      <c r="C1002" s="14" t="s">
        <v>32</v>
      </c>
      <c r="D1002" s="15" t="n">
        <v>5420.72122762148</v>
      </c>
      <c r="E1002" s="16" t="n">
        <f aca="false">INDEX(Parâmetros!$C$33:$C$37,MATCH(B1002,Parâmetros!$A$33:$A$37,0))</f>
        <v>5909.24487179487</v>
      </c>
      <c r="F1002" s="7" t="n">
        <f aca="false">MAX(0,(E1002-D1002)/D1002)</f>
        <v>0.0901215214101213</v>
      </c>
      <c r="G1002" s="7" t="n">
        <f aca="false">MIN(K1002*Parâmetros!$B$19,Parâmetros!$B$8)</f>
        <v>0.0518952170719485</v>
      </c>
      <c r="H1002" s="3" t="str">
        <f aca="false">IF(F1002&gt;=Parâmetros!$B$6,"Ação","Acompanhamento")</f>
        <v>Acompanhamento</v>
      </c>
      <c r="I1002" s="17" t="n">
        <v>303.004246284501</v>
      </c>
      <c r="J1002" s="11" t="n">
        <f aca="false">D1002*I1002</f>
        <v>1642501.54989384</v>
      </c>
      <c r="K1002" s="7" t="n">
        <f aca="false">Parâmetros!$B$4+Parâmetros!$B$5*F1002</f>
        <v>0.0425303803525303</v>
      </c>
      <c r="L1002" s="11" t="n">
        <f aca="false">D1002*(1+G1002)</f>
        <v>5702.03073241542</v>
      </c>
      <c r="M1002" s="14" t="n">
        <v>0</v>
      </c>
      <c r="N1002" s="4" t="n">
        <v>1</v>
      </c>
      <c r="O1002" s="3" t="str">
        <f aca="false">IF(AND(B1002=4,M1002=1),IF(N1002&lt;0.8,"Subgrupo 7 dias; fronteira de cluster","Subgrupo 7 dias"),IF(N1002&lt;0.8,"Fronteira de cluster",""))</f>
        <v/>
      </c>
    </row>
    <row r="1003" customFormat="false" ht="15" hidden="false" customHeight="false" outlineLevel="0" collapsed="false">
      <c r="A1003" s="14" t="n">
        <v>1002</v>
      </c>
      <c r="B1003" s="14" t="n">
        <v>0</v>
      </c>
      <c r="C1003" s="14" t="s">
        <v>29</v>
      </c>
      <c r="D1003" s="15" t="n">
        <v>6063.50765306122</v>
      </c>
      <c r="E1003" s="16" t="n">
        <f aca="false">INDEX(Parâmetros!$C$33:$C$37,MATCH(B1003,Parâmetros!$A$33:$A$37,0))</f>
        <v>5476.37033462034</v>
      </c>
      <c r="F1003" s="7" t="n">
        <f aca="false">MAX(0,(E1003-D1003)/D1003)</f>
        <v>0</v>
      </c>
      <c r="G1003" s="7" t="n">
        <f aca="false">MIN(K1003*Parâmetros!$B$19,Parâmetros!$B$8)</f>
        <v>0.0244038339849275</v>
      </c>
      <c r="H1003" s="3" t="str">
        <f aca="false">IF(F1003&gt;=Parâmetros!$B$6,"Ação","Acompanhamento")</f>
        <v>Acompanhamento</v>
      </c>
      <c r="I1003" s="17" t="n">
        <v>303.779193205945</v>
      </c>
      <c r="J1003" s="11" t="n">
        <f aca="false">D1003*I1003</f>
        <v>1841967.46284501</v>
      </c>
      <c r="K1003" s="7" t="n">
        <f aca="false">Parâmetros!$B$4+Parâmetros!$B$5*F1003</f>
        <v>0.02</v>
      </c>
      <c r="L1003" s="11" t="n">
        <f aca="false">D1003*(1+G1003)</f>
        <v>6211.48048719287</v>
      </c>
      <c r="M1003" s="14" t="n">
        <v>0</v>
      </c>
      <c r="N1003" s="4" t="n">
        <v>0.671232876712329</v>
      </c>
      <c r="O1003" s="3" t="str">
        <f aca="false">IF(AND(B1003=4,M1003=1),IF(N1003&lt;0.8,"Subgrupo 7 dias; fronteira de cluster","Subgrupo 7 dias"),IF(N1003&lt;0.8,"Fronteira de cluster",""))</f>
        <v>Fronteira de cluster</v>
      </c>
    </row>
    <row r="1004" customFormat="false" ht="15" hidden="false" customHeight="false" outlineLevel="0" collapsed="false">
      <c r="A1004" s="14" t="n">
        <v>1003</v>
      </c>
      <c r="B1004" s="14" t="n">
        <v>3</v>
      </c>
      <c r="C1004" s="14" t="s">
        <v>32</v>
      </c>
      <c r="D1004" s="15" t="n">
        <v>7382.80359435173</v>
      </c>
      <c r="E1004" s="16" t="n">
        <f aca="false">INDEX(Parâmetros!$C$33:$C$37,MATCH(B1004,Parâmetros!$A$33:$A$37,0))</f>
        <v>5909.24487179487</v>
      </c>
      <c r="F1004" s="7" t="n">
        <f aca="false">MAX(0,(E1004-D1004)/D1004)</f>
        <v>0</v>
      </c>
      <c r="G1004" s="7" t="n">
        <f aca="false">MIN(K1004*Parâmetros!$B$19,Parâmetros!$B$8)</f>
        <v>0.0244038339849275</v>
      </c>
      <c r="H1004" s="3" t="str">
        <f aca="false">IF(F1004&gt;=Parâmetros!$B$6,"Ação","Acompanhamento")</f>
        <v>Acompanhamento</v>
      </c>
      <c r="I1004" s="17" t="n">
        <v>301.841825902336</v>
      </c>
      <c r="J1004" s="11" t="n">
        <f aca="false">D1004*I1004</f>
        <v>2228438.91719745</v>
      </c>
      <c r="K1004" s="7" t="n">
        <f aca="false">Parâmetros!$B$4+Parâmetros!$B$5*F1004</f>
        <v>0.02</v>
      </c>
      <c r="L1004" s="11" t="n">
        <f aca="false">D1004*(1+G1004)</f>
        <v>7562.97230761162</v>
      </c>
      <c r="M1004" s="14" t="n">
        <v>0</v>
      </c>
      <c r="N1004" s="4" t="n">
        <v>0.732558139534884</v>
      </c>
      <c r="O1004" s="3" t="str">
        <f aca="false">IF(AND(B1004=4,M1004=1),IF(N1004&lt;0.8,"Subgrupo 7 dias; fronteira de cluster","Subgrupo 7 dias"),IF(N1004&lt;0.8,"Fronteira de cluster",""))</f>
        <v>Fronteira de cluster</v>
      </c>
    </row>
    <row r="1005" customFormat="false" ht="15" hidden="false" customHeight="false" outlineLevel="0" collapsed="false">
      <c r="A1005" s="14" t="n">
        <v>1004</v>
      </c>
      <c r="B1005" s="14" t="n">
        <v>0</v>
      </c>
      <c r="C1005" s="14" t="s">
        <v>29</v>
      </c>
      <c r="D1005" s="15" t="n">
        <v>5165.44533762058</v>
      </c>
      <c r="E1005" s="16" t="n">
        <f aca="false">INDEX(Parâmetros!$C$33:$C$37,MATCH(B1005,Parâmetros!$A$33:$A$37,0))</f>
        <v>5476.37033462034</v>
      </c>
      <c r="F1005" s="7" t="n">
        <f aca="false">MAX(0,(E1005-D1005)/D1005)</f>
        <v>0.0601932605375283</v>
      </c>
      <c r="G1005" s="7" t="n">
        <f aca="false">MIN(K1005*Parâmetros!$B$19,Parâmetros!$B$8)</f>
        <v>0.042765663199544</v>
      </c>
      <c r="H1005" s="3" t="str">
        <f aca="false">IF(F1005&gt;=Parâmetros!$B$6,"Ação","Acompanhamento")</f>
        <v>Acompanhamento</v>
      </c>
      <c r="I1005" s="17" t="n">
        <v>299.511873350924</v>
      </c>
      <c r="J1005" s="11" t="n">
        <f aca="false">D1005*I1005</f>
        <v>1547112.20976253</v>
      </c>
      <c r="K1005" s="7" t="n">
        <f aca="false">Parâmetros!$B$4+Parâmetros!$B$5*F1005</f>
        <v>0.0350483151343821</v>
      </c>
      <c r="L1005" s="11" t="n">
        <f aca="false">D1005*(1+G1005)</f>
        <v>5386.34903320492</v>
      </c>
      <c r="M1005" s="14" t="n">
        <v>0</v>
      </c>
      <c r="N1005" s="4" t="n">
        <v>0.95</v>
      </c>
      <c r="O1005" s="3" t="str">
        <f aca="false">IF(AND(B1005=4,M1005=1),IF(N1005&lt;0.8,"Subgrupo 7 dias; fronteira de cluster","Subgrupo 7 dias"),IF(N1005&lt;0.8,"Fronteira de cluster",""))</f>
        <v/>
      </c>
    </row>
    <row r="1006" customFormat="false" ht="15" hidden="false" customHeight="false" outlineLevel="0" collapsed="false">
      <c r="A1006" s="14" t="n">
        <v>1005</v>
      </c>
      <c r="B1006" s="14" t="n">
        <v>4</v>
      </c>
      <c r="C1006" s="14" t="s">
        <v>33</v>
      </c>
      <c r="D1006" s="15" t="n">
        <v>6205.98074454429</v>
      </c>
      <c r="E1006" s="16" t="n">
        <f aca="false">INDEX(Parâmetros!$C$33:$C$37,MATCH(B1006,Parâmetros!$A$33:$A$37,0))</f>
        <v>8837.10512820513</v>
      </c>
      <c r="F1006" s="7" t="n">
        <f aca="false">MAX(0,(E1006-D1006)/D1006)</f>
        <v>0.423965927701899</v>
      </c>
      <c r="G1006" s="7" t="n">
        <f aca="false">MIN(K1006*Parâmetros!$B$19,Parâmetros!$B$8)</f>
        <v>0.153733760421214</v>
      </c>
      <c r="H1006" s="3" t="str">
        <f aca="false">IF(F1006&gt;=Parâmetros!$B$6,"Ação","Acompanhamento")</f>
        <v>Ação</v>
      </c>
      <c r="I1006" s="17" t="n">
        <v>301.841825902336</v>
      </c>
      <c r="J1006" s="11" t="n">
        <f aca="false">D1006*I1006</f>
        <v>1873224.55944798</v>
      </c>
      <c r="K1006" s="7" t="n">
        <f aca="false">Parâmetros!$B$4+Parâmetros!$B$5*F1006</f>
        <v>0.125991481925475</v>
      </c>
      <c r="L1006" s="11" t="n">
        <f aca="false">D1006*(1+G1006)</f>
        <v>7160.04950150473</v>
      </c>
      <c r="M1006" s="14" t="n">
        <v>0</v>
      </c>
      <c r="N1006" s="4" t="n">
        <v>0.9875</v>
      </c>
      <c r="O1006" s="3" t="str">
        <f aca="false">IF(AND(B1006=4,M1006=1),IF(N1006&lt;0.8,"Subgrupo 7 dias; fronteira de cluster","Subgrupo 7 dias"),IF(N1006&lt;0.8,"Fronteira de cluster",""))</f>
        <v/>
      </c>
    </row>
    <row r="1007" customFormat="false" ht="15" hidden="false" customHeight="false" outlineLevel="0" collapsed="false">
      <c r="A1007" s="14" t="n">
        <v>1006</v>
      </c>
      <c r="B1007" s="14" t="n">
        <v>0</v>
      </c>
      <c r="C1007" s="14" t="s">
        <v>29</v>
      </c>
      <c r="D1007" s="15" t="n">
        <v>6371.96153846154</v>
      </c>
      <c r="E1007" s="16" t="n">
        <f aca="false">INDEX(Parâmetros!$C$33:$C$37,MATCH(B1007,Parâmetros!$A$33:$A$37,0))</f>
        <v>5476.37033462034</v>
      </c>
      <c r="F1007" s="7" t="n">
        <f aca="false">MAX(0,(E1007-D1007)/D1007)</f>
        <v>0</v>
      </c>
      <c r="G1007" s="7" t="n">
        <f aca="false">MIN(K1007*Parâmetros!$B$19,Parâmetros!$B$8)</f>
        <v>0.0244038339849275</v>
      </c>
      <c r="H1007" s="3" t="str">
        <f aca="false">IF(F1007&gt;=Parâmetros!$B$6,"Ação","Acompanhamento")</f>
        <v>Acompanhamento</v>
      </c>
      <c r="I1007" s="17" t="n">
        <v>302.229299363057</v>
      </c>
      <c r="J1007" s="11" t="n">
        <f aca="false">D1007*I1007</f>
        <v>1925793.47133758</v>
      </c>
      <c r="K1007" s="7" t="n">
        <f aca="false">Parâmetros!$B$4+Parâmetros!$B$5*F1007</f>
        <v>0.02</v>
      </c>
      <c r="L1007" s="11" t="n">
        <f aca="false">D1007*(1+G1007)</f>
        <v>6527.4618300045</v>
      </c>
      <c r="M1007" s="14" t="n">
        <v>0</v>
      </c>
      <c r="N1007" s="4" t="n">
        <v>0.573170731707317</v>
      </c>
      <c r="O1007" s="3" t="str">
        <f aca="false">IF(AND(B1007=4,M1007=1),IF(N1007&lt;0.8,"Subgrupo 7 dias; fronteira de cluster","Subgrupo 7 dias"),IF(N1007&lt;0.8,"Fronteira de cluster",""))</f>
        <v>Fronteira de cluster</v>
      </c>
    </row>
    <row r="1008" customFormat="false" ht="15" hidden="false" customHeight="false" outlineLevel="0" collapsed="false">
      <c r="A1008" s="14" t="n">
        <v>1007</v>
      </c>
      <c r="B1008" s="14" t="n">
        <v>1</v>
      </c>
      <c r="C1008" s="14" t="s">
        <v>30</v>
      </c>
      <c r="D1008" s="15" t="n">
        <v>6996.20408163265</v>
      </c>
      <c r="E1008" s="16" t="n">
        <f aca="false">INDEX(Parâmetros!$C$33:$C$37,MATCH(B1008,Parâmetros!$A$33:$A$37,0))</f>
        <v>6959.92435130262</v>
      </c>
      <c r="F1008" s="7" t="n">
        <f aca="false">MAX(0,(E1008-D1008)/D1008)</f>
        <v>0</v>
      </c>
      <c r="G1008" s="7" t="n">
        <f aca="false">MIN(K1008*Parâmetros!$B$19,Parâmetros!$B$8)</f>
        <v>0.0244038339849275</v>
      </c>
      <c r="H1008" s="3" t="str">
        <f aca="false">IF(F1008&gt;=Parâmetros!$B$6,"Ação","Acompanhamento")</f>
        <v>Acompanhamento</v>
      </c>
      <c r="I1008" s="17" t="n">
        <v>303.779193205945</v>
      </c>
      <c r="J1008" s="11" t="n">
        <f aca="false">D1008*I1008</f>
        <v>2125301.23142251</v>
      </c>
      <c r="K1008" s="7" t="n">
        <f aca="false">Parâmetros!$B$4+Parâmetros!$B$5*F1008</f>
        <v>0.02</v>
      </c>
      <c r="L1008" s="11" t="n">
        <f aca="false">D1008*(1+G1008)</f>
        <v>7166.93828456549</v>
      </c>
      <c r="M1008" s="14" t="n">
        <v>0</v>
      </c>
      <c r="N1008" s="4" t="n">
        <v>0.952380952380952</v>
      </c>
      <c r="O1008" s="3" t="str">
        <f aca="false">IF(AND(B1008=4,M1008=1),IF(N1008&lt;0.8,"Subgrupo 7 dias; fronteira de cluster","Subgrupo 7 dias"),IF(N1008&lt;0.8,"Fronteira de cluster",""))</f>
        <v/>
      </c>
    </row>
    <row r="1009" customFormat="false" ht="15" hidden="false" customHeight="false" outlineLevel="0" collapsed="false">
      <c r="A1009" s="14" t="n">
        <v>1008</v>
      </c>
      <c r="B1009" s="14" t="n">
        <v>0</v>
      </c>
      <c r="C1009" s="14" t="s">
        <v>29</v>
      </c>
      <c r="D1009" s="15" t="n">
        <v>5331.10331632653</v>
      </c>
      <c r="E1009" s="16" t="n">
        <f aca="false">INDEX(Parâmetros!$C$33:$C$37,MATCH(B1009,Parâmetros!$A$33:$A$37,0))</f>
        <v>5476.37033462034</v>
      </c>
      <c r="F1009" s="7" t="n">
        <f aca="false">MAX(0,(E1009-D1009)/D1009)</f>
        <v>0.027248959488165</v>
      </c>
      <c r="G1009" s="7" t="n">
        <f aca="false">MIN(K1009*Parâmetros!$B$19,Parâmetros!$B$8)</f>
        <v>0.0327160725300674</v>
      </c>
      <c r="H1009" s="3" t="str">
        <f aca="false">IF(F1009&gt;=Parâmetros!$B$6,"Ação","Acompanhamento")</f>
        <v>Acompanhamento</v>
      </c>
      <c r="I1009" s="17" t="n">
        <v>303.779193205945</v>
      </c>
      <c r="J1009" s="11" t="n">
        <f aca="false">D1009*I1009</f>
        <v>1619478.26433121</v>
      </c>
      <c r="K1009" s="7" t="n">
        <f aca="false">Parâmetros!$B$4+Parâmetros!$B$5*F1009</f>
        <v>0.0268122398720412</v>
      </c>
      <c r="L1009" s="11" t="n">
        <f aca="false">D1009*(1+G1009)</f>
        <v>5505.51607908875</v>
      </c>
      <c r="M1009" s="14" t="n">
        <v>0</v>
      </c>
      <c r="N1009" s="4" t="n">
        <v>0.963414634146341</v>
      </c>
      <c r="O1009" s="3" t="str">
        <f aca="false">IF(AND(B1009=4,M1009=1),IF(N1009&lt;0.8,"Subgrupo 7 dias; fronteira de cluster","Subgrupo 7 dias"),IF(N1009&lt;0.8,"Fronteira de cluster",""))</f>
        <v/>
      </c>
    </row>
    <row r="1010" customFormat="false" ht="15" hidden="false" customHeight="false" outlineLevel="0" collapsed="false">
      <c r="A1010" s="14" t="n">
        <v>1009</v>
      </c>
      <c r="B1010" s="14" t="n">
        <v>0</v>
      </c>
      <c r="C1010" s="14" t="s">
        <v>29</v>
      </c>
      <c r="D1010" s="15" t="n">
        <v>4772.18488745981</v>
      </c>
      <c r="E1010" s="16" t="n">
        <f aca="false">INDEX(Parâmetros!$C$33:$C$37,MATCH(B1010,Parâmetros!$A$33:$A$37,0))</f>
        <v>5476.37033462034</v>
      </c>
      <c r="F1010" s="7" t="n">
        <f aca="false">MAX(0,(E1010-D1010)/D1010)</f>
        <v>0.14756038665035</v>
      </c>
      <c r="G1010" s="7" t="n">
        <f aca="false">MIN(K1010*Parâmetros!$B$19,Parâmetros!$B$8)</f>
        <v>0.0694168237170131</v>
      </c>
      <c r="H1010" s="3" t="str">
        <f aca="false">IF(F1010&gt;=Parâmetros!$B$6,"Ação","Acompanhamento")</f>
        <v>Ação</v>
      </c>
      <c r="I1010" s="17" t="n">
        <v>299.511873350924</v>
      </c>
      <c r="J1010" s="11" t="n">
        <f aca="false">D1010*I1010</f>
        <v>1429326.03562005</v>
      </c>
      <c r="K1010" s="7" t="n">
        <f aca="false">Parâmetros!$B$4+Parâmetros!$B$5*F1010</f>
        <v>0.0568900966625876</v>
      </c>
      <c r="L1010" s="11" t="n">
        <f aca="false">D1010*(1+G1010)</f>
        <v>5103.4548045376</v>
      </c>
      <c r="M1010" s="14" t="n">
        <v>0</v>
      </c>
      <c r="N1010" s="4" t="n">
        <v>0.962025316455696</v>
      </c>
      <c r="O1010" s="3" t="str">
        <f aca="false">IF(AND(B1010=4,M1010=1),IF(N1010&lt;0.8,"Subgrupo 7 dias; fronteira de cluster","Subgrupo 7 dias"),IF(N1010&lt;0.8,"Fronteira de cluster",""))</f>
        <v/>
      </c>
    </row>
    <row r="1011" customFormat="false" ht="15" hidden="false" customHeight="false" outlineLevel="0" collapsed="false">
      <c r="A1011" s="14" t="n">
        <v>1010</v>
      </c>
      <c r="B1011" s="14" t="n">
        <v>1</v>
      </c>
      <c r="C1011" s="14" t="s">
        <v>30</v>
      </c>
      <c r="D1011" s="15" t="n">
        <v>8874.1568877551</v>
      </c>
      <c r="E1011" s="16" t="n">
        <f aca="false">INDEX(Parâmetros!$C$33:$C$37,MATCH(B1011,Parâmetros!$A$33:$A$37,0))</f>
        <v>6959.92435130262</v>
      </c>
      <c r="F1011" s="7" t="n">
        <f aca="false">MAX(0,(E1011-D1011)/D1011)</f>
        <v>0</v>
      </c>
      <c r="G1011" s="7" t="n">
        <f aca="false">MIN(K1011*Parâmetros!$B$19,Parâmetros!$B$8)</f>
        <v>0.0244038339849275</v>
      </c>
      <c r="H1011" s="3" t="str">
        <f aca="false">IF(F1011&gt;=Parâmetros!$B$6,"Ação","Acompanhamento")</f>
        <v>Acompanhamento</v>
      </c>
      <c r="I1011" s="17" t="n">
        <v>303.779193205945</v>
      </c>
      <c r="J1011" s="11" t="n">
        <f aca="false">D1011*I1011</f>
        <v>2695784.21974522</v>
      </c>
      <c r="K1011" s="7" t="n">
        <f aca="false">Parâmetros!$B$4+Parâmetros!$B$5*F1011</f>
        <v>0.02</v>
      </c>
      <c r="L1011" s="11" t="n">
        <f aca="false">D1011*(1+G1011)</f>
        <v>9090.72033920008</v>
      </c>
      <c r="M1011" s="14" t="n">
        <v>0</v>
      </c>
      <c r="N1011" s="4" t="n">
        <v>1</v>
      </c>
      <c r="O1011" s="3" t="str">
        <f aca="false">IF(AND(B1011=4,M1011=1),IF(N1011&lt;0.8,"Subgrupo 7 dias; fronteira de cluster","Subgrupo 7 dias"),IF(N1011&lt;0.8,"Fronteira de cluster",""))</f>
        <v/>
      </c>
    </row>
    <row r="1012" customFormat="false" ht="15" hidden="false" customHeight="false" outlineLevel="0" collapsed="false">
      <c r="A1012" s="14" t="n">
        <v>1011</v>
      </c>
      <c r="B1012" s="14" t="n">
        <v>4</v>
      </c>
      <c r="C1012" s="14" t="s">
        <v>33</v>
      </c>
      <c r="D1012" s="15" t="n">
        <v>7878.23748395379</v>
      </c>
      <c r="E1012" s="16" t="n">
        <f aca="false">INDEX(Parâmetros!$C$33:$C$37,MATCH(B1012,Parâmetros!$A$33:$A$37,0))</f>
        <v>8837.10512820513</v>
      </c>
      <c r="F1012" s="7" t="n">
        <f aca="false">MAX(0,(E1012-D1012)/D1012)</f>
        <v>0.121710934229178</v>
      </c>
      <c r="G1012" s="7" t="n">
        <f aca="false">MIN(K1012*Parâmetros!$B$19,Parâmetros!$B$8)</f>
        <v>0.0615315018984184</v>
      </c>
      <c r="H1012" s="3" t="str">
        <f aca="false">IF(F1012&gt;=Parâmetros!$B$6,"Ação","Acompanhamento")</f>
        <v>Ação</v>
      </c>
      <c r="I1012" s="17" t="n">
        <v>301.841825902336</v>
      </c>
      <c r="J1012" s="11" t="n">
        <f aca="false">D1012*I1012</f>
        <v>2377981.58704883</v>
      </c>
      <c r="K1012" s="7" t="n">
        <f aca="false">Parâmetros!$B$4+Parâmetros!$B$5*F1012</f>
        <v>0.0504277335572944</v>
      </c>
      <c r="L1012" s="11" t="n">
        <f aca="false">D1012*(1+G1012)</f>
        <v>8362.99726865388</v>
      </c>
      <c r="M1012" s="14" t="n">
        <v>0</v>
      </c>
      <c r="N1012" s="4" t="n">
        <v>1</v>
      </c>
      <c r="O1012" s="3" t="str">
        <f aca="false">IF(AND(B1012=4,M1012=1),IF(N1012&lt;0.8,"Subgrupo 7 dias; fronteira de cluster","Subgrupo 7 dias"),IF(N1012&lt;0.8,"Fronteira de cluster",""))</f>
        <v/>
      </c>
    </row>
    <row r="1013" customFormat="false" ht="15" hidden="false" customHeight="false" outlineLevel="0" collapsed="false">
      <c r="A1013" s="14" t="n">
        <v>1012</v>
      </c>
      <c r="B1013" s="14" t="n">
        <v>1</v>
      </c>
      <c r="C1013" s="14" t="s">
        <v>30</v>
      </c>
      <c r="D1013" s="15" t="n">
        <v>6049.71061093248</v>
      </c>
      <c r="E1013" s="16" t="n">
        <f aca="false">INDEX(Parâmetros!$C$33:$C$37,MATCH(B1013,Parâmetros!$A$33:$A$37,0))</f>
        <v>6959.92435130262</v>
      </c>
      <c r="F1013" s="7" t="n">
        <f aca="false">MAX(0,(E1013-D1013)/D1013)</f>
        <v>0.150455748862647</v>
      </c>
      <c r="G1013" s="7" t="n">
        <f aca="false">MIN(K1013*Parâmetros!$B$19,Parâmetros!$B$8)</f>
        <v>0.070300047951452</v>
      </c>
      <c r="H1013" s="3" t="str">
        <f aca="false">IF(F1013&gt;=Parâmetros!$B$6,"Ação","Acompanhamento")</f>
        <v>Ação</v>
      </c>
      <c r="I1013" s="17" t="n">
        <v>299.511873350924</v>
      </c>
      <c r="J1013" s="11" t="n">
        <f aca="false">D1013*I1013</f>
        <v>1811960.15831135</v>
      </c>
      <c r="K1013" s="7" t="n">
        <f aca="false">Parâmetros!$B$4+Parâmetros!$B$5*F1013</f>
        <v>0.0576139372156617</v>
      </c>
      <c r="L1013" s="11" t="n">
        <f aca="false">D1013*(1+G1013)</f>
        <v>6475.00555697344</v>
      </c>
      <c r="M1013" s="14" t="n">
        <v>0</v>
      </c>
      <c r="N1013" s="4" t="n">
        <v>1</v>
      </c>
      <c r="O1013" s="3" t="str">
        <f aca="false">IF(AND(B1013=4,M1013=1),IF(N1013&lt;0.8,"Subgrupo 7 dias; fronteira de cluster","Subgrupo 7 dias"),IF(N1013&lt;0.8,"Fronteira de cluster",""))</f>
        <v/>
      </c>
    </row>
    <row r="1014" customFormat="false" ht="15" hidden="false" customHeight="false" outlineLevel="0" collapsed="false">
      <c r="A1014" s="14" t="n">
        <v>1013</v>
      </c>
      <c r="B1014" s="14" t="n">
        <v>0</v>
      </c>
      <c r="C1014" s="14" t="s">
        <v>29</v>
      </c>
      <c r="D1014" s="15" t="n">
        <v>3993.56097560976</v>
      </c>
      <c r="E1014" s="16" t="n">
        <f aca="false">INDEX(Parâmetros!$C$33:$C$37,MATCH(B1014,Parâmetros!$A$33:$A$37,0))</f>
        <v>5476.37033462034</v>
      </c>
      <c r="F1014" s="7" t="n">
        <f aca="false">MAX(0,(E1014-D1014)/D1014)</f>
        <v>0.371300042259697</v>
      </c>
      <c r="G1014" s="7" t="n">
        <f aca="false">MIN(K1014*Parâmetros!$B$19,Parâmetros!$B$8)</f>
        <v>0.137668141358705</v>
      </c>
      <c r="H1014" s="3" t="str">
        <f aca="false">IF(F1014&gt;=Parâmetros!$B$6,"Ação","Acompanhamento")</f>
        <v>Ação</v>
      </c>
      <c r="I1014" s="17" t="n">
        <v>301.841825902336</v>
      </c>
      <c r="J1014" s="11" t="n">
        <f aca="false">D1014*I1014</f>
        <v>1205423.73673036</v>
      </c>
      <c r="K1014" s="7" t="n">
        <f aca="false">Parâmetros!$B$4+Parâmetros!$B$5*F1014</f>
        <v>0.112825010564924</v>
      </c>
      <c r="L1014" s="11" t="n">
        <f aca="false">D1014*(1+G1014)</f>
        <v>4543.34709252461</v>
      </c>
      <c r="M1014" s="14" t="n">
        <v>0</v>
      </c>
      <c r="N1014" s="4" t="n">
        <v>0.987951807228916</v>
      </c>
      <c r="O1014" s="3" t="str">
        <f aca="false">IF(AND(B1014=4,M1014=1),IF(N1014&lt;0.8,"Subgrupo 7 dias; fronteira de cluster","Subgrupo 7 dias"),IF(N1014&lt;0.8,"Fronteira de cluster",""))</f>
        <v/>
      </c>
    </row>
    <row r="1015" customFormat="false" ht="15" hidden="false" customHeight="false" outlineLevel="0" collapsed="false">
      <c r="A1015" s="14" t="n">
        <v>1014</v>
      </c>
      <c r="B1015" s="14" t="n">
        <v>3</v>
      </c>
      <c r="C1015" s="14" t="s">
        <v>32</v>
      </c>
      <c r="D1015" s="15" t="n">
        <v>12206.8061617458</v>
      </c>
      <c r="E1015" s="16" t="n">
        <f aca="false">INDEX(Parâmetros!$C$33:$C$37,MATCH(B1015,Parâmetros!$A$33:$A$37,0))</f>
        <v>5909.24487179487</v>
      </c>
      <c r="F1015" s="7" t="n">
        <f aca="false">MAX(0,(E1015-D1015)/D1015)</f>
        <v>0</v>
      </c>
      <c r="G1015" s="7" t="n">
        <f aca="false">MIN(K1015*Parâmetros!$B$19,Parâmetros!$B$8)</f>
        <v>0.0244038339849275</v>
      </c>
      <c r="H1015" s="3" t="str">
        <f aca="false">IF(F1015&gt;=Parâmetros!$B$6,"Ação","Acompanhamento")</f>
        <v>Acompanhamento</v>
      </c>
      <c r="I1015" s="17" t="n">
        <v>301.841825902336</v>
      </c>
      <c r="J1015" s="11" t="n">
        <f aca="false">D1015*I1015</f>
        <v>3684524.66029724</v>
      </c>
      <c r="K1015" s="7" t="n">
        <f aca="false">Parâmetros!$B$4+Parâmetros!$B$5*F1015</f>
        <v>0.02</v>
      </c>
      <c r="L1015" s="11" t="n">
        <f aca="false">D1015*(1+G1015)</f>
        <v>12504.6990328033</v>
      </c>
      <c r="M1015" s="14" t="n">
        <v>0</v>
      </c>
      <c r="N1015" s="4" t="n">
        <v>0.726027397260274</v>
      </c>
      <c r="O1015" s="3" t="str">
        <f aca="false">IF(AND(B1015=4,M1015=1),IF(N1015&lt;0.8,"Subgrupo 7 dias; fronteira de cluster","Subgrupo 7 dias"),IF(N1015&lt;0.8,"Fronteira de cluster",""))</f>
        <v>Fronteira de cluster</v>
      </c>
    </row>
    <row r="1016" customFormat="false" ht="15" hidden="false" customHeight="false" outlineLevel="0" collapsed="false">
      <c r="A1016" s="14" t="n">
        <v>1015</v>
      </c>
      <c r="B1016" s="14" t="n">
        <v>1</v>
      </c>
      <c r="C1016" s="14" t="s">
        <v>30</v>
      </c>
      <c r="D1016" s="15" t="n">
        <v>6040.02952503209</v>
      </c>
      <c r="E1016" s="16" t="n">
        <f aca="false">INDEX(Parâmetros!$C$33:$C$37,MATCH(B1016,Parâmetros!$A$33:$A$37,0))</f>
        <v>6959.92435130262</v>
      </c>
      <c r="F1016" s="7" t="n">
        <f aca="false">MAX(0,(E1016-D1016)/D1016)</f>
        <v>0.152299723446408</v>
      </c>
      <c r="G1016" s="7" t="n">
        <f aca="false">MIN(K1016*Parâmetros!$B$19,Parâmetros!$B$8)</f>
        <v>0.0708625485716339</v>
      </c>
      <c r="H1016" s="3" t="str">
        <f aca="false">IF(F1016&gt;=Parâmetros!$B$6,"Ação","Acompanhamento")</f>
        <v>Ação</v>
      </c>
      <c r="I1016" s="17" t="n">
        <v>301.841825902336</v>
      </c>
      <c r="J1016" s="11" t="n">
        <f aca="false">D1016*I1016</f>
        <v>1823133.5403397</v>
      </c>
      <c r="K1016" s="7" t="n">
        <f aca="false">Parâmetros!$B$4+Parâmetros!$B$5*F1016</f>
        <v>0.0580749308616021</v>
      </c>
      <c r="L1016" s="11" t="n">
        <f aca="false">D1016*(1+G1016)</f>
        <v>6468.04141062378</v>
      </c>
      <c r="M1016" s="14" t="n">
        <v>0</v>
      </c>
      <c r="N1016" s="4" t="n">
        <v>1</v>
      </c>
      <c r="O1016" s="3" t="str">
        <f aca="false">IF(AND(B1016=4,M1016=1),IF(N1016&lt;0.8,"Subgrupo 7 dias; fronteira de cluster","Subgrupo 7 dias"),IF(N1016&lt;0.8,"Fronteira de cluster",""))</f>
        <v/>
      </c>
    </row>
    <row r="1017" customFormat="false" ht="15" hidden="false" customHeight="false" outlineLevel="0" collapsed="false">
      <c r="A1017" s="14" t="n">
        <v>1016</v>
      </c>
      <c r="B1017" s="14" t="n">
        <v>3</v>
      </c>
      <c r="C1017" s="14" t="s">
        <v>32</v>
      </c>
      <c r="D1017" s="15" t="n">
        <v>5409.41463414634</v>
      </c>
      <c r="E1017" s="16" t="n">
        <f aca="false">INDEX(Parâmetros!$C$33:$C$37,MATCH(B1017,Parâmetros!$A$33:$A$37,0))</f>
        <v>5909.24487179487</v>
      </c>
      <c r="F1017" s="7" t="n">
        <f aca="false">MAX(0,(E1017-D1017)/D1017)</f>
        <v>0.0924000601642564</v>
      </c>
      <c r="G1017" s="7" t="n">
        <f aca="false">MIN(K1017*Parâmetros!$B$19,Parâmetros!$B$8)</f>
        <v>0.0525902805905002</v>
      </c>
      <c r="H1017" s="3" t="str">
        <f aca="false">IF(F1017&gt;=Parâmetros!$B$6,"Ação","Acompanhamento")</f>
        <v>Acompanhamento</v>
      </c>
      <c r="I1017" s="17" t="n">
        <v>301.841825902336</v>
      </c>
      <c r="J1017" s="11" t="n">
        <f aca="false">D1017*I1017</f>
        <v>1632787.59023355</v>
      </c>
      <c r="K1017" s="7" t="n">
        <f aca="false">Parâmetros!$B$4+Parâmetros!$B$5*F1017</f>
        <v>0.0431000150410641</v>
      </c>
      <c r="L1017" s="11" t="n">
        <f aca="false">D1017*(1+G1017)</f>
        <v>5693.89726758646</v>
      </c>
      <c r="M1017" s="14" t="n">
        <v>0</v>
      </c>
      <c r="N1017" s="4" t="n">
        <v>0.963855421686747</v>
      </c>
      <c r="O1017" s="3" t="str">
        <f aca="false">IF(AND(B1017=4,M1017=1),IF(N1017&lt;0.8,"Subgrupo 7 dias; fronteira de cluster","Subgrupo 7 dias"),IF(N1017&lt;0.8,"Fronteira de cluster",""))</f>
        <v/>
      </c>
    </row>
    <row r="1018" customFormat="false" ht="15" hidden="false" customHeight="false" outlineLevel="0" collapsed="false">
      <c r="A1018" s="14" t="n">
        <v>1017</v>
      </c>
      <c r="B1018" s="14" t="n">
        <v>4</v>
      </c>
      <c r="C1018" s="14" t="s">
        <v>33</v>
      </c>
      <c r="D1018" s="15" t="n">
        <v>7222.21251629726</v>
      </c>
      <c r="E1018" s="16" t="n">
        <f aca="false">INDEX(Parâmetros!$C$33:$C$37,MATCH(B1018,Parâmetros!$A$33:$A$37,0))</f>
        <v>8837.10512820513</v>
      </c>
      <c r="F1018" s="7" t="n">
        <f aca="false">MAX(0,(E1018-D1018)/D1018)</f>
        <v>0.223600815991469</v>
      </c>
      <c r="G1018" s="7" t="n">
        <f aca="false">MIN(K1018*Parâmetros!$B$19,Parâmetros!$B$8)</f>
        <v>0.0926127988893039</v>
      </c>
      <c r="H1018" s="3" t="str">
        <f aca="false">IF(F1018&gt;=Parâmetros!$B$6,"Ação","Acompanhamento")</f>
        <v>Ação</v>
      </c>
      <c r="I1018" s="17" t="n">
        <v>297.967091295117</v>
      </c>
      <c r="J1018" s="11" t="n">
        <f aca="false">D1018*I1018</f>
        <v>2151981.65619628</v>
      </c>
      <c r="K1018" s="7" t="n">
        <f aca="false">Parâmetros!$B$4+Parâmetros!$B$5*F1018</f>
        <v>0.0759002039978672</v>
      </c>
      <c r="L1018" s="11" t="n">
        <f aca="false">D1018*(1+G1018)</f>
        <v>7891.08183160491</v>
      </c>
      <c r="M1018" s="14" t="n">
        <v>0</v>
      </c>
      <c r="N1018" s="4" t="n">
        <v>0.861111111111111</v>
      </c>
      <c r="O1018" s="3" t="str">
        <f aca="false">IF(AND(B1018=4,M1018=1),IF(N1018&lt;0.8,"Subgrupo 7 dias; fronteira de cluster","Subgrupo 7 dias"),IF(N1018&lt;0.8,"Fronteira de cluster",""))</f>
        <v/>
      </c>
    </row>
    <row r="1019" customFormat="false" ht="15" hidden="false" customHeight="false" outlineLevel="0" collapsed="false">
      <c r="A1019" s="14" t="n">
        <v>1018</v>
      </c>
      <c r="B1019" s="14" t="n">
        <v>4</v>
      </c>
      <c r="C1019" s="14" t="s">
        <v>33</v>
      </c>
      <c r="D1019" s="15" t="n">
        <v>11748.3427109974</v>
      </c>
      <c r="E1019" s="16" t="n">
        <f aca="false">INDEX(Parâmetros!$C$33:$C$37,MATCH(B1019,Parâmetros!$A$33:$A$37,0))</f>
        <v>8837.10512820513</v>
      </c>
      <c r="F1019" s="7" t="n">
        <f aca="false">MAX(0,(E1019-D1019)/D1019)</f>
        <v>0</v>
      </c>
      <c r="G1019" s="7" t="n">
        <f aca="false">MIN(K1019*Parâmetros!$B$19,Parâmetros!$B$8)</f>
        <v>0.0244038339849275</v>
      </c>
      <c r="H1019" s="3" t="str">
        <f aca="false">IF(F1019&gt;=Parâmetros!$B$6,"Ação","Acompanhamento")</f>
        <v>Acompanhamento</v>
      </c>
      <c r="I1019" s="17" t="n">
        <v>303.004246284501</v>
      </c>
      <c r="J1019" s="11" t="n">
        <f aca="false">D1019*I1019</f>
        <v>3559797.72823779</v>
      </c>
      <c r="K1019" s="7" t="n">
        <f aca="false">Parâmetros!$B$4+Parâmetros!$B$5*F1019</f>
        <v>0.02</v>
      </c>
      <c r="L1019" s="11" t="n">
        <f aca="false">D1019*(1+G1019)</f>
        <v>12035.0473161147</v>
      </c>
      <c r="M1019" s="14" t="n">
        <v>0</v>
      </c>
      <c r="N1019" s="4" t="n">
        <v>0.960526315789474</v>
      </c>
      <c r="O1019" s="3" t="str">
        <f aca="false">IF(AND(B1019=4,M1019=1),IF(N1019&lt;0.8,"Subgrupo 7 dias; fronteira de cluster","Subgrupo 7 dias"),IF(N1019&lt;0.8,"Fronteira de cluster",""))</f>
        <v/>
      </c>
    </row>
    <row r="1020" customFormat="false" ht="15" hidden="false" customHeight="false" outlineLevel="0" collapsed="false">
      <c r="A1020" s="14" t="n">
        <v>1019</v>
      </c>
      <c r="B1020" s="14" t="n">
        <v>1</v>
      </c>
      <c r="C1020" s="14" t="s">
        <v>30</v>
      </c>
      <c r="D1020" s="15" t="n">
        <v>9071.00481540931</v>
      </c>
      <c r="E1020" s="16" t="n">
        <f aca="false">INDEX(Parâmetros!$C$33:$C$37,MATCH(B1020,Parâmetros!$A$33:$A$37,0))</f>
        <v>6959.92435130262</v>
      </c>
      <c r="F1020" s="7" t="n">
        <f aca="false">MAX(0,(E1020-D1020)/D1020)</f>
        <v>0</v>
      </c>
      <c r="G1020" s="7" t="n">
        <f aca="false">MIN(K1020*Parâmetros!$B$19,Parâmetros!$B$8)</f>
        <v>0.0244038339849275</v>
      </c>
      <c r="H1020" s="3" t="str">
        <f aca="false">IF(F1020&gt;=Parâmetros!$B$6,"Ação","Acompanhamento")</f>
        <v>Acompanhamento</v>
      </c>
      <c r="I1020" s="17" t="n">
        <v>299.993403693931</v>
      </c>
      <c r="J1020" s="11" t="n">
        <f aca="false">D1020*I1020</f>
        <v>2721241.60949868</v>
      </c>
      <c r="K1020" s="7" t="n">
        <f aca="false">Parâmetros!$B$4+Parâmetros!$B$5*F1020</f>
        <v>0.02</v>
      </c>
      <c r="L1020" s="11" t="n">
        <f aca="false">D1020*(1+G1020)</f>
        <v>9292.37211100104</v>
      </c>
      <c r="M1020" s="14" t="n">
        <v>0</v>
      </c>
      <c r="N1020" s="4" t="n">
        <v>1</v>
      </c>
      <c r="O1020" s="3" t="str">
        <f aca="false">IF(AND(B1020=4,M1020=1),IF(N1020&lt;0.8,"Subgrupo 7 dias; fronteira de cluster","Subgrupo 7 dias"),IF(N1020&lt;0.8,"Fronteira de cluster",""))</f>
        <v/>
      </c>
    </row>
    <row r="1021" customFormat="false" ht="15" hidden="false" customHeight="false" outlineLevel="0" collapsed="false">
      <c r="A1021" s="14" t="n">
        <v>1020</v>
      </c>
      <c r="B1021" s="14" t="n">
        <v>4</v>
      </c>
      <c r="C1021" s="14" t="s">
        <v>33</v>
      </c>
      <c r="D1021" s="15" t="n">
        <v>9032.45198463508</v>
      </c>
      <c r="E1021" s="16" t="n">
        <f aca="false">INDEX(Parâmetros!$C$33:$C$37,MATCH(B1021,Parâmetros!$A$33:$A$37,0))</f>
        <v>8837.10512820513</v>
      </c>
      <c r="F1021" s="7" t="n">
        <f aca="false">MAX(0,(E1021-D1021)/D1021)</f>
        <v>0</v>
      </c>
      <c r="G1021" s="7" t="n">
        <f aca="false">MIN(K1021*Parâmetros!$B$19,Parâmetros!$B$8)</f>
        <v>0.0244038339849275</v>
      </c>
      <c r="H1021" s="3" t="str">
        <f aca="false">IF(F1021&gt;=Parâmetros!$B$6,"Ação","Acompanhamento")</f>
        <v>Acompanhamento</v>
      </c>
      <c r="I1021" s="17" t="n">
        <v>302.616772823779</v>
      </c>
      <c r="J1021" s="11" t="n">
        <f aca="false">D1021*I1021</f>
        <v>2733371.47027601</v>
      </c>
      <c r="K1021" s="7" t="n">
        <f aca="false">Parâmetros!$B$4+Parâmetros!$B$5*F1021</f>
        <v>0.02</v>
      </c>
      <c r="L1021" s="11" t="n">
        <f aca="false">D1021*(1+G1021)</f>
        <v>9252.87844334495</v>
      </c>
      <c r="M1021" s="14" t="n">
        <v>0</v>
      </c>
      <c r="N1021" s="4" t="n">
        <v>1</v>
      </c>
      <c r="O1021" s="3" t="str">
        <f aca="false">IF(AND(B1021=4,M1021=1),IF(N1021&lt;0.8,"Subgrupo 7 dias; fronteira de cluster","Subgrupo 7 dias"),IF(N1021&lt;0.8,"Fronteira de cluster",""))</f>
        <v/>
      </c>
    </row>
    <row r="1022" customFormat="false" ht="15" hidden="false" customHeight="false" outlineLevel="0" collapsed="false">
      <c r="A1022" s="14" t="n">
        <v>1021</v>
      </c>
      <c r="B1022" s="14" t="n">
        <v>4</v>
      </c>
      <c r="C1022" s="14" t="s">
        <v>33</v>
      </c>
      <c r="D1022" s="15" t="n">
        <v>8877.74805194805</v>
      </c>
      <c r="E1022" s="16" t="n">
        <f aca="false">INDEX(Parâmetros!$C$33:$C$37,MATCH(B1022,Parâmetros!$A$33:$A$37,0))</f>
        <v>8837.10512820513</v>
      </c>
      <c r="F1022" s="7" t="n">
        <f aca="false">MAX(0,(E1022-D1022)/D1022)</f>
        <v>0</v>
      </c>
      <c r="G1022" s="7" t="n">
        <f aca="false">MIN(K1022*Parâmetros!$B$19,Parâmetros!$B$8)</f>
        <v>0.0244038339849275</v>
      </c>
      <c r="H1022" s="3" t="str">
        <f aca="false">IF(F1022&gt;=Parâmetros!$B$6,"Ação","Acompanhamento")</f>
        <v>Acompanhamento</v>
      </c>
      <c r="I1022" s="17" t="n">
        <v>298.354564755839</v>
      </c>
      <c r="J1022" s="11" t="n">
        <f aca="false">D1022*I1022</f>
        <v>2648716.65605096</v>
      </c>
      <c r="K1022" s="7" t="n">
        <f aca="false">Parâmetros!$B$4+Parâmetros!$B$5*F1022</f>
        <v>0.02</v>
      </c>
      <c r="L1022" s="11" t="n">
        <f aca="false">D1022*(1+G1022)</f>
        <v>9094.39914156781</v>
      </c>
      <c r="M1022" s="14" t="n">
        <v>0</v>
      </c>
      <c r="N1022" s="4" t="n">
        <v>1</v>
      </c>
      <c r="O1022" s="3" t="str">
        <f aca="false">IF(AND(B1022=4,M1022=1),IF(N1022&lt;0.8,"Subgrupo 7 dias; fronteira de cluster","Subgrupo 7 dias"),IF(N1022&lt;0.8,"Fronteira de cluster",""))</f>
        <v/>
      </c>
    </row>
    <row r="1023" customFormat="false" ht="15" hidden="false" customHeight="false" outlineLevel="0" collapsed="false">
      <c r="A1023" s="14" t="n">
        <v>1022</v>
      </c>
      <c r="B1023" s="14" t="n">
        <v>0</v>
      </c>
      <c r="C1023" s="14" t="s">
        <v>29</v>
      </c>
      <c r="D1023" s="15" t="n">
        <v>7325.00513478819</v>
      </c>
      <c r="E1023" s="16" t="n">
        <f aca="false">INDEX(Parâmetros!$C$33:$C$37,MATCH(B1023,Parâmetros!$A$33:$A$37,0))</f>
        <v>5476.37033462034</v>
      </c>
      <c r="F1023" s="7" t="n">
        <f aca="false">MAX(0,(E1023-D1023)/D1023)</f>
        <v>0</v>
      </c>
      <c r="G1023" s="7" t="n">
        <f aca="false">MIN(K1023*Parâmetros!$B$19,Parâmetros!$B$8)</f>
        <v>0.0244038339849275</v>
      </c>
      <c r="H1023" s="3" t="str">
        <f aca="false">IF(F1023&gt;=Parâmetros!$B$6,"Ação","Acompanhamento")</f>
        <v>Acompanhamento</v>
      </c>
      <c r="I1023" s="17" t="n">
        <v>301.841825902336</v>
      </c>
      <c r="J1023" s="11" t="n">
        <f aca="false">D1023*I1023</f>
        <v>2210992.92462845</v>
      </c>
      <c r="K1023" s="7" t="n">
        <f aca="false">Parâmetros!$B$4+Parâmetros!$B$5*F1023</f>
        <v>0.02</v>
      </c>
      <c r="L1023" s="11" t="n">
        <f aca="false">D1023*(1+G1023)</f>
        <v>7503.7633440363</v>
      </c>
      <c r="M1023" s="14" t="n">
        <v>0</v>
      </c>
      <c r="N1023" s="4" t="n">
        <v>0.9875</v>
      </c>
      <c r="O1023" s="3" t="str">
        <f aca="false">IF(AND(B1023=4,M1023=1),IF(N1023&lt;0.8,"Subgrupo 7 dias; fronteira de cluster","Subgrupo 7 dias"),IF(N1023&lt;0.8,"Fronteira de cluster",""))</f>
        <v/>
      </c>
    </row>
    <row r="1024" customFormat="false" ht="15" hidden="false" customHeight="false" outlineLevel="0" collapsed="false">
      <c r="A1024" s="14" t="n">
        <v>1023</v>
      </c>
      <c r="B1024" s="14" t="n">
        <v>2</v>
      </c>
      <c r="C1024" s="14" t="s">
        <v>31</v>
      </c>
      <c r="D1024" s="15" t="n">
        <v>6152.61794871795</v>
      </c>
      <c r="E1024" s="16" t="n">
        <f aca="false">INDEX(Parâmetros!$C$33:$C$37,MATCH(B1024,Parâmetros!$A$33:$A$37,0))</f>
        <v>6324.80102695764</v>
      </c>
      <c r="F1024" s="7" t="n">
        <f aca="false">MAX(0,(E1024-D1024)/D1024)</f>
        <v>0.0279853356205171</v>
      </c>
      <c r="G1024" s="7" t="n">
        <f aca="false">MIN(K1024*Parâmetros!$B$19,Parâmetros!$B$8)</f>
        <v>0.0329407025411221</v>
      </c>
      <c r="H1024" s="3" t="str">
        <f aca="false">IF(F1024&gt;=Parâmetros!$B$6,"Ação","Acompanhamento")</f>
        <v>Acompanhamento</v>
      </c>
      <c r="I1024" s="17" t="n">
        <v>302.229299363057</v>
      </c>
      <c r="J1024" s="11" t="n">
        <f aca="false">D1024*I1024</f>
        <v>1859501.4118896</v>
      </c>
      <c r="K1024" s="7" t="n">
        <f aca="false">Parâmetros!$B$4+Parâmetros!$B$5*F1024</f>
        <v>0.0269963339051293</v>
      </c>
      <c r="L1024" s="11" t="n">
        <f aca="false">D1024*(1+G1024)</f>
        <v>6355.28950641584</v>
      </c>
      <c r="M1024" s="14" t="n">
        <v>0</v>
      </c>
      <c r="N1024" s="4" t="n">
        <v>0.976744186046512</v>
      </c>
      <c r="O1024" s="3" t="str">
        <f aca="false">IF(AND(B1024=4,M1024=1),IF(N1024&lt;0.8,"Subgrupo 7 dias; fronteira de cluster","Subgrupo 7 dias"),IF(N1024&lt;0.8,"Fronteira de cluster",""))</f>
        <v/>
      </c>
    </row>
    <row r="1025" customFormat="false" ht="15" hidden="false" customHeight="false" outlineLevel="0" collapsed="false">
      <c r="A1025" s="14" t="n">
        <v>1024</v>
      </c>
      <c r="B1025" s="14" t="n">
        <v>0</v>
      </c>
      <c r="C1025" s="14" t="s">
        <v>29</v>
      </c>
      <c r="D1025" s="15" t="n">
        <v>6135.47066326531</v>
      </c>
      <c r="E1025" s="16" t="n">
        <f aca="false">INDEX(Parâmetros!$C$33:$C$37,MATCH(B1025,Parâmetros!$A$33:$A$37,0))</f>
        <v>5476.37033462034</v>
      </c>
      <c r="F1025" s="7" t="n">
        <f aca="false">MAX(0,(E1025-D1025)/D1025)</f>
        <v>0</v>
      </c>
      <c r="G1025" s="7" t="n">
        <f aca="false">MIN(K1025*Parâmetros!$B$19,Parâmetros!$B$8)</f>
        <v>0.0244038339849275</v>
      </c>
      <c r="H1025" s="3" t="str">
        <f aca="false">IF(F1025&gt;=Parâmetros!$B$6,"Ação","Acompanhamento")</f>
        <v>Acompanhamento</v>
      </c>
      <c r="I1025" s="17" t="n">
        <v>303.779193205945</v>
      </c>
      <c r="J1025" s="11" t="n">
        <f aca="false">D1025*I1025</f>
        <v>1863828.32802548</v>
      </c>
      <c r="K1025" s="7" t="n">
        <f aca="false">Parâmetros!$B$4+Parâmetros!$B$5*F1025</f>
        <v>0.02</v>
      </c>
      <c r="L1025" s="11" t="n">
        <f aca="false">D1025*(1+G1025)</f>
        <v>6285.19967075103</v>
      </c>
      <c r="M1025" s="14" t="n">
        <v>0</v>
      </c>
      <c r="N1025" s="4" t="n">
        <v>0.648648648648649</v>
      </c>
      <c r="O1025" s="3" t="str">
        <f aca="false">IF(AND(B1025=4,M1025=1),IF(N1025&lt;0.8,"Subgrupo 7 dias; fronteira de cluster","Subgrupo 7 dias"),IF(N1025&lt;0.8,"Fronteira de cluster",""))</f>
        <v>Fronteira de cluster</v>
      </c>
    </row>
    <row r="1026" customFormat="false" ht="15" hidden="false" customHeight="false" outlineLevel="0" collapsed="false">
      <c r="A1026" s="14" t="n">
        <v>1025</v>
      </c>
      <c r="B1026" s="14" t="n">
        <v>4</v>
      </c>
      <c r="C1026" s="14" t="s">
        <v>33</v>
      </c>
      <c r="D1026" s="15" t="n">
        <v>7425.50128865979</v>
      </c>
      <c r="E1026" s="16" t="n">
        <f aca="false">INDEX(Parâmetros!$C$33:$C$37,MATCH(B1026,Parâmetros!$A$33:$A$37,0))</f>
        <v>8837.10512820513</v>
      </c>
      <c r="F1026" s="7" t="n">
        <f aca="false">MAX(0,(E1026-D1026)/D1026)</f>
        <v>0.190102160739118</v>
      </c>
      <c r="G1026" s="7" t="n">
        <f aca="false">MIN(K1026*Parâmetros!$B$19,Parâmetros!$B$8)</f>
        <v>0.0823941036205954</v>
      </c>
      <c r="H1026" s="3" t="str">
        <f aca="false">IF(F1026&gt;=Parâmetros!$B$6,"Ação","Acompanhamento")</f>
        <v>Ação</v>
      </c>
      <c r="I1026" s="17" t="n">
        <v>300.67940552017</v>
      </c>
      <c r="J1026" s="11" t="n">
        <f aca="false">D1026*I1026</f>
        <v>2232695.31316348</v>
      </c>
      <c r="K1026" s="7" t="n">
        <f aca="false">Parâmetros!$B$4+Parâmetros!$B$5*F1026</f>
        <v>0.0675255401847796</v>
      </c>
      <c r="L1026" s="11" t="n">
        <f aca="false">D1026*(1+G1026)</f>
        <v>8037.31881127249</v>
      </c>
      <c r="M1026" s="14" t="n">
        <v>0</v>
      </c>
      <c r="N1026" s="4" t="n">
        <v>1</v>
      </c>
      <c r="O1026" s="3" t="str">
        <f aca="false">IF(AND(B1026=4,M1026=1),IF(N1026&lt;0.8,"Subgrupo 7 dias; fronteira de cluster","Subgrupo 7 dias"),IF(N1026&lt;0.8,"Fronteira de cluster",""))</f>
        <v/>
      </c>
    </row>
    <row r="1027" customFormat="false" ht="15" hidden="false" customHeight="false" outlineLevel="0" collapsed="false">
      <c r="A1027" s="14" t="n">
        <v>1026</v>
      </c>
      <c r="B1027" s="14" t="n">
        <v>0</v>
      </c>
      <c r="C1027" s="14" t="s">
        <v>29</v>
      </c>
      <c r="D1027" s="15" t="n">
        <v>9495.6161745828</v>
      </c>
      <c r="E1027" s="16" t="n">
        <f aca="false">INDEX(Parâmetros!$C$33:$C$37,MATCH(B1027,Parâmetros!$A$33:$A$37,0))</f>
        <v>5476.37033462034</v>
      </c>
      <c r="F1027" s="7" t="n">
        <f aca="false">MAX(0,(E1027-D1027)/D1027)</f>
        <v>0</v>
      </c>
      <c r="G1027" s="7" t="n">
        <f aca="false">MIN(K1027*Parâmetros!$B$19,Parâmetros!$B$8)</f>
        <v>0.0244038339849275</v>
      </c>
      <c r="H1027" s="3" t="str">
        <f aca="false">IF(F1027&gt;=Parâmetros!$B$6,"Ação","Acompanhamento")</f>
        <v>Acompanhamento</v>
      </c>
      <c r="I1027" s="17" t="n">
        <v>301.841825902336</v>
      </c>
      <c r="J1027" s="11" t="n">
        <f aca="false">D1027*I1027</f>
        <v>2866174.12420382</v>
      </c>
      <c r="K1027" s="7" t="n">
        <f aca="false">Parâmetros!$B$4+Parâmetros!$B$5*F1027</f>
        <v>0.02</v>
      </c>
      <c r="L1027" s="11" t="n">
        <f aca="false">D1027*(1+G1027)</f>
        <v>9727.34561529191</v>
      </c>
      <c r="M1027" s="14" t="n">
        <v>0</v>
      </c>
      <c r="N1027" s="4" t="n">
        <v>0.98780487804878</v>
      </c>
      <c r="O1027" s="3" t="str">
        <f aca="false">IF(AND(B1027=4,M1027=1),IF(N1027&lt;0.8,"Subgrupo 7 dias; fronteira de cluster","Subgrupo 7 dias"),IF(N1027&lt;0.8,"Fronteira de cluster",""))</f>
        <v/>
      </c>
    </row>
    <row r="1028" customFormat="false" ht="15" hidden="false" customHeight="false" outlineLevel="0" collapsed="false">
      <c r="A1028" s="14" t="n">
        <v>1027</v>
      </c>
      <c r="B1028" s="14" t="n">
        <v>4</v>
      </c>
      <c r="C1028" s="14" t="s">
        <v>33</v>
      </c>
      <c r="D1028" s="15" t="n">
        <v>13104.088282504</v>
      </c>
      <c r="E1028" s="16" t="n">
        <f aca="false">INDEX(Parâmetros!$C$33:$C$37,MATCH(B1028,Parâmetros!$A$33:$A$37,0))</f>
        <v>8837.10512820513</v>
      </c>
      <c r="F1028" s="7" t="n">
        <f aca="false">MAX(0,(E1028-D1028)/D1028)</f>
        <v>0</v>
      </c>
      <c r="G1028" s="7" t="n">
        <f aca="false">MIN(K1028*Parâmetros!$B$19,Parâmetros!$B$8)</f>
        <v>0.0244038339849275</v>
      </c>
      <c r="H1028" s="3" t="str">
        <f aca="false">IF(F1028&gt;=Parâmetros!$B$6,"Ação","Acompanhamento")</f>
        <v>Acompanhamento</v>
      </c>
      <c r="I1028" s="17" t="n">
        <v>299.993403693931</v>
      </c>
      <c r="J1028" s="11" t="n">
        <f aca="false">D1028*I1028</f>
        <v>3931140.04617414</v>
      </c>
      <c r="K1028" s="7" t="n">
        <f aca="false">Parâmetros!$B$4+Parâmetros!$B$5*F1028</f>
        <v>0.02</v>
      </c>
      <c r="L1028" s="11" t="n">
        <f aca="false">D1028*(1+G1028)</f>
        <v>13423.8782774741</v>
      </c>
      <c r="M1028" s="14" t="n">
        <v>0</v>
      </c>
      <c r="N1028" s="4" t="n">
        <v>0.925925925925926</v>
      </c>
      <c r="O1028" s="3" t="str">
        <f aca="false">IF(AND(B1028=4,M1028=1),IF(N1028&lt;0.8,"Subgrupo 7 dias; fronteira de cluster","Subgrupo 7 dias"),IF(N1028&lt;0.8,"Fronteira de cluster",""))</f>
        <v/>
      </c>
    </row>
    <row r="1029" customFormat="false" ht="15" hidden="false" customHeight="false" outlineLevel="0" collapsed="false">
      <c r="A1029" s="14" t="n">
        <v>1028</v>
      </c>
      <c r="B1029" s="14" t="n">
        <v>3</v>
      </c>
      <c r="C1029" s="14" t="s">
        <v>32</v>
      </c>
      <c r="D1029" s="15" t="n">
        <v>4732.63543003851</v>
      </c>
      <c r="E1029" s="16" t="n">
        <f aca="false">INDEX(Parâmetros!$C$33:$C$37,MATCH(B1029,Parâmetros!$A$33:$A$37,0))</f>
        <v>5909.24487179487</v>
      </c>
      <c r="F1029" s="7" t="n">
        <f aca="false">MAX(0,(E1029-D1029)/D1029)</f>
        <v>0.248616116569703</v>
      </c>
      <c r="G1029" s="7" t="n">
        <f aca="false">MIN(K1029*Parâmetros!$B$19,Parâmetros!$B$8)</f>
        <v>0.100243664419232</v>
      </c>
      <c r="H1029" s="3" t="str">
        <f aca="false">IF(F1029&gt;=Parâmetros!$B$6,"Ação","Acompanhamento")</f>
        <v>Ação</v>
      </c>
      <c r="I1029" s="17" t="n">
        <v>301.841825902336</v>
      </c>
      <c r="J1029" s="11" t="n">
        <f aca="false">D1029*I1029</f>
        <v>1428507.31953291</v>
      </c>
      <c r="K1029" s="7" t="n">
        <f aca="false">Parâmetros!$B$4+Parâmetros!$B$5*F1029</f>
        <v>0.0821540291424257</v>
      </c>
      <c r="L1029" s="11" t="n">
        <f aca="false">D1029*(1+G1029)</f>
        <v>5207.05214790586</v>
      </c>
      <c r="M1029" s="14" t="n">
        <v>0</v>
      </c>
      <c r="N1029" s="4" t="n">
        <v>0.716049382716049</v>
      </c>
      <c r="O1029" s="3" t="str">
        <f aca="false">IF(AND(B1029=4,M1029=1),IF(N1029&lt;0.8,"Subgrupo 7 dias; fronteira de cluster","Subgrupo 7 dias"),IF(N1029&lt;0.8,"Fronteira de cluster",""))</f>
        <v>Fronteira de cluster</v>
      </c>
    </row>
    <row r="1030" customFormat="false" ht="15" hidden="false" customHeight="false" outlineLevel="0" collapsed="false">
      <c r="A1030" s="14" t="n">
        <v>1029</v>
      </c>
      <c r="B1030" s="14" t="n">
        <v>3</v>
      </c>
      <c r="C1030" s="14" t="s">
        <v>32</v>
      </c>
      <c r="D1030" s="15" t="n">
        <v>5416.49743589744</v>
      </c>
      <c r="E1030" s="16" t="n">
        <f aca="false">INDEX(Parâmetros!$C$33:$C$37,MATCH(B1030,Parâmetros!$A$33:$A$37,0))</f>
        <v>5909.24487179487</v>
      </c>
      <c r="F1030" s="7" t="n">
        <f aca="false">MAX(0,(E1030-D1030)/D1030)</f>
        <v>0.0909715995860699</v>
      </c>
      <c r="G1030" s="7" t="n">
        <f aca="false">MIN(K1030*Parâmetros!$B$19,Parâmetros!$B$8)</f>
        <v>0.0521545316554493</v>
      </c>
      <c r="H1030" s="3" t="str">
        <f aca="false">IF(F1030&gt;=Parâmetros!$B$6,"Ação","Acompanhamento")</f>
        <v>Acompanhamento</v>
      </c>
      <c r="I1030" s="17" t="n">
        <v>302.229299363057</v>
      </c>
      <c r="J1030" s="11" t="n">
        <f aca="false">D1030*I1030</f>
        <v>1637024.22505308</v>
      </c>
      <c r="K1030" s="7" t="n">
        <f aca="false">Parâmetros!$B$4+Parâmetros!$B$5*F1030</f>
        <v>0.0427428998965175</v>
      </c>
      <c r="L1030" s="11" t="n">
        <f aca="false">D1030*(1+G1030)</f>
        <v>5698.99232287961</v>
      </c>
      <c r="M1030" s="14" t="n">
        <v>0</v>
      </c>
      <c r="N1030" s="4" t="n">
        <v>0.779220779220779</v>
      </c>
      <c r="O1030" s="3" t="str">
        <f aca="false">IF(AND(B1030=4,M1030=1),IF(N1030&lt;0.8,"Subgrupo 7 dias; fronteira de cluster","Subgrupo 7 dias"),IF(N1030&lt;0.8,"Fronteira de cluster",""))</f>
        <v>Fronteira de cluster</v>
      </c>
    </row>
    <row r="1031" customFormat="false" ht="15" hidden="false" customHeight="false" outlineLevel="0" collapsed="false">
      <c r="A1031" s="14" t="n">
        <v>1030</v>
      </c>
      <c r="B1031" s="14" t="n">
        <v>3</v>
      </c>
      <c r="C1031" s="14" t="s">
        <v>32</v>
      </c>
      <c r="D1031" s="15" t="n">
        <v>3610.67051282051</v>
      </c>
      <c r="E1031" s="16" t="n">
        <f aca="false">INDEX(Parâmetros!$C$33:$C$37,MATCH(B1031,Parâmetros!$A$33:$A$37,0))</f>
        <v>5909.24487179487</v>
      </c>
      <c r="F1031" s="7" t="n">
        <f aca="false">MAX(0,(E1031-D1031)/D1031)</f>
        <v>0.63660595748428</v>
      </c>
      <c r="G1031" s="7" t="n">
        <f aca="false">MIN(K1031*Parâmetros!$B$19,Parâmetros!$B$8)</f>
        <v>0.2</v>
      </c>
      <c r="H1031" s="3" t="str">
        <f aca="false">IF(F1031&gt;=Parâmetros!$B$6,"Ação","Acompanhamento")</f>
        <v>Ação</v>
      </c>
      <c r="I1031" s="17" t="n">
        <v>302.229299363057</v>
      </c>
      <c r="J1031" s="11" t="n">
        <f aca="false">D1031*I1031</f>
        <v>1091250.41932059</v>
      </c>
      <c r="K1031" s="7" t="n">
        <f aca="false">Parâmetros!$B$4+Parâmetros!$B$5*F1031</f>
        <v>0.17915148937107</v>
      </c>
      <c r="L1031" s="11" t="n">
        <f aca="false">D1031*(1+G1031)</f>
        <v>4332.80461538462</v>
      </c>
      <c r="M1031" s="14" t="n">
        <v>0</v>
      </c>
      <c r="N1031" s="4" t="n">
        <v>1</v>
      </c>
      <c r="O1031" s="3" t="str">
        <f aca="false">IF(AND(B1031=4,M1031=1),IF(N1031&lt;0.8,"Subgrupo 7 dias; fronteira de cluster","Subgrupo 7 dias"),IF(N1031&lt;0.8,"Fronteira de cluster",""))</f>
        <v/>
      </c>
    </row>
    <row r="1032" customFormat="false" ht="15" hidden="false" customHeight="false" outlineLevel="0" collapsed="false">
      <c r="A1032" s="14" t="n">
        <v>1031</v>
      </c>
      <c r="B1032" s="14" t="n">
        <v>0</v>
      </c>
      <c r="C1032" s="14" t="s">
        <v>29</v>
      </c>
      <c r="D1032" s="15" t="n">
        <v>4843.85622593068</v>
      </c>
      <c r="E1032" s="16" t="n">
        <f aca="false">INDEX(Parâmetros!$C$33:$C$37,MATCH(B1032,Parâmetros!$A$33:$A$37,0))</f>
        <v>5476.37033462034</v>
      </c>
      <c r="F1032" s="7" t="n">
        <f aca="false">MAX(0,(E1032-D1032)/D1032)</f>
        <v>0.130580694221189</v>
      </c>
      <c r="G1032" s="7" t="n">
        <f aca="false">MIN(K1032*Parâmetros!$B$19,Parâmetros!$B$8)</f>
        <v>0.0642372037775582</v>
      </c>
      <c r="H1032" s="3" t="str">
        <f aca="false">IF(F1032&gt;=Parâmetros!$B$6,"Ação","Acompanhamento")</f>
        <v>Ação</v>
      </c>
      <c r="I1032" s="17" t="n">
        <v>301.841825902336</v>
      </c>
      <c r="J1032" s="11" t="n">
        <f aca="false">D1032*I1032</f>
        <v>1462078.40764331</v>
      </c>
      <c r="K1032" s="7" t="n">
        <f aca="false">Parâmetros!$B$4+Parâmetros!$B$5*F1032</f>
        <v>0.0526451735552971</v>
      </c>
      <c r="L1032" s="11" t="n">
        <f aca="false">D1032*(1+G1032)</f>
        <v>5155.01200538498</v>
      </c>
      <c r="M1032" s="14" t="n">
        <v>0</v>
      </c>
      <c r="N1032" s="4" t="n">
        <v>0.987654320987654</v>
      </c>
      <c r="O1032" s="3" t="str">
        <f aca="false">IF(AND(B1032=4,M1032=1),IF(N1032&lt;0.8,"Subgrupo 7 dias; fronteira de cluster","Subgrupo 7 dias"),IF(N1032&lt;0.8,"Fronteira de cluster",""))</f>
        <v/>
      </c>
    </row>
    <row r="1033" customFormat="false" ht="15" hidden="false" customHeight="false" outlineLevel="0" collapsed="false">
      <c r="A1033" s="14" t="n">
        <v>1032</v>
      </c>
      <c r="B1033" s="14" t="n">
        <v>0</v>
      </c>
      <c r="C1033" s="14" t="s">
        <v>29</v>
      </c>
      <c r="D1033" s="15" t="n">
        <v>9195.19871794872</v>
      </c>
      <c r="E1033" s="16" t="n">
        <f aca="false">INDEX(Parâmetros!$C$33:$C$37,MATCH(B1033,Parâmetros!$A$33:$A$37,0))</f>
        <v>5476.37033462034</v>
      </c>
      <c r="F1033" s="7" t="n">
        <f aca="false">MAX(0,(E1033-D1033)/D1033)</f>
        <v>0</v>
      </c>
      <c r="G1033" s="7" t="n">
        <f aca="false">MIN(K1033*Parâmetros!$B$19,Parâmetros!$B$8)</f>
        <v>0.0244038339849275</v>
      </c>
      <c r="H1033" s="3" t="str">
        <f aca="false">IF(F1033&gt;=Parâmetros!$B$6,"Ação","Acompanhamento")</f>
        <v>Acompanhamento</v>
      </c>
      <c r="I1033" s="17" t="n">
        <v>302.229299363057</v>
      </c>
      <c r="J1033" s="11" t="n">
        <f aca="false">D1033*I1033</f>
        <v>2779058.46602972</v>
      </c>
      <c r="K1033" s="7" t="n">
        <f aca="false">Parâmetros!$B$4+Parâmetros!$B$5*F1033</f>
        <v>0.02</v>
      </c>
      <c r="L1033" s="11" t="n">
        <f aca="false">D1033*(1+G1033)</f>
        <v>9419.59682091996</v>
      </c>
      <c r="M1033" s="14" t="n">
        <v>0</v>
      </c>
      <c r="N1033" s="4" t="n">
        <v>0.9625</v>
      </c>
      <c r="O1033" s="3" t="str">
        <f aca="false">IF(AND(B1033=4,M1033=1),IF(N1033&lt;0.8,"Subgrupo 7 dias; fronteira de cluster","Subgrupo 7 dias"),IF(N1033&lt;0.8,"Fronteira de cluster",""))</f>
        <v/>
      </c>
    </row>
    <row r="1034" customFormat="false" ht="15" hidden="false" customHeight="false" outlineLevel="0" collapsed="false">
      <c r="A1034" s="14" t="n">
        <v>1033</v>
      </c>
      <c r="B1034" s="14" t="n">
        <v>1</v>
      </c>
      <c r="C1034" s="14" t="s">
        <v>30</v>
      </c>
      <c r="D1034" s="15" t="n">
        <v>13865.1403061225</v>
      </c>
      <c r="E1034" s="16" t="n">
        <f aca="false">INDEX(Parâmetros!$C$33:$C$37,MATCH(B1034,Parâmetros!$A$33:$A$37,0))</f>
        <v>6959.92435130262</v>
      </c>
      <c r="F1034" s="7" t="n">
        <f aca="false">MAX(0,(E1034-D1034)/D1034)</f>
        <v>0</v>
      </c>
      <c r="G1034" s="7" t="n">
        <f aca="false">MIN(K1034*Parâmetros!$B$19,Parâmetros!$B$8)</f>
        <v>0.0244038339849275</v>
      </c>
      <c r="H1034" s="3" t="str">
        <f aca="false">IF(F1034&gt;=Parâmetros!$B$6,"Ação","Acompanhamento")</f>
        <v>Acompanhamento</v>
      </c>
      <c r="I1034" s="17" t="n">
        <v>303.779193205945</v>
      </c>
      <c r="J1034" s="11" t="n">
        <f aca="false">D1034*I1034</f>
        <v>4211941.1358811</v>
      </c>
      <c r="K1034" s="7" t="n">
        <f aca="false">Parâmetros!$B$4+Parâmetros!$B$5*F1034</f>
        <v>0.02</v>
      </c>
      <c r="L1034" s="11" t="n">
        <f aca="false">D1034*(1+G1034)</f>
        <v>14203.5028883308</v>
      </c>
      <c r="M1034" s="14" t="n">
        <v>0</v>
      </c>
      <c r="N1034" s="4" t="n">
        <v>0.949367088607595</v>
      </c>
      <c r="O1034" s="3" t="str">
        <f aca="false">IF(AND(B1034=4,M1034=1),IF(N1034&lt;0.8,"Subgrupo 7 dias; fronteira de cluster","Subgrupo 7 dias"),IF(N1034&lt;0.8,"Fronteira de cluster",""))</f>
        <v/>
      </c>
    </row>
    <row r="1035" customFormat="false" ht="15" hidden="false" customHeight="false" outlineLevel="0" collapsed="false">
      <c r="A1035" s="14" t="n">
        <v>1034</v>
      </c>
      <c r="B1035" s="14" t="n">
        <v>3</v>
      </c>
      <c r="C1035" s="14" t="s">
        <v>32</v>
      </c>
      <c r="D1035" s="15" t="n">
        <v>6503.77564102564</v>
      </c>
      <c r="E1035" s="16" t="n">
        <f aca="false">INDEX(Parâmetros!$C$33:$C$37,MATCH(B1035,Parâmetros!$A$33:$A$37,0))</f>
        <v>5909.24487179487</v>
      </c>
      <c r="F1035" s="7" t="n">
        <f aca="false">MAX(0,(E1035-D1035)/D1035)</f>
        <v>0</v>
      </c>
      <c r="G1035" s="7" t="n">
        <f aca="false">MIN(K1035*Parâmetros!$B$19,Parâmetros!$B$8)</f>
        <v>0.0244038339849275</v>
      </c>
      <c r="H1035" s="3" t="str">
        <f aca="false">IF(F1035&gt;=Parâmetros!$B$6,"Ação","Acompanhamento")</f>
        <v>Acompanhamento</v>
      </c>
      <c r="I1035" s="17" t="n">
        <v>302.229299363057</v>
      </c>
      <c r="J1035" s="11" t="n">
        <f aca="false">D1035*I1035</f>
        <v>1965631.5552017</v>
      </c>
      <c r="K1035" s="7" t="n">
        <f aca="false">Parâmetros!$B$4+Parâmetros!$B$5*F1035</f>
        <v>0.02</v>
      </c>
      <c r="L1035" s="11" t="n">
        <f aca="false">D1035*(1+G1035)</f>
        <v>6662.49270204445</v>
      </c>
      <c r="M1035" s="14" t="n">
        <v>0</v>
      </c>
      <c r="N1035" s="4" t="n">
        <v>1</v>
      </c>
      <c r="O1035" s="3" t="str">
        <f aca="false">IF(AND(B1035=4,M1035=1),IF(N1035&lt;0.8,"Subgrupo 7 dias; fronteira de cluster","Subgrupo 7 dias"),IF(N1035&lt;0.8,"Fronteira de cluster",""))</f>
        <v/>
      </c>
    </row>
    <row r="1036" customFormat="false" ht="15" hidden="false" customHeight="false" outlineLevel="0" collapsed="false">
      <c r="A1036" s="14" t="n">
        <v>1035</v>
      </c>
      <c r="B1036" s="14" t="n">
        <v>3</v>
      </c>
      <c r="C1036" s="14" t="s">
        <v>32</v>
      </c>
      <c r="D1036" s="15" t="n">
        <v>4876.65897435898</v>
      </c>
      <c r="E1036" s="16" t="n">
        <f aca="false">INDEX(Parâmetros!$C$33:$C$37,MATCH(B1036,Parâmetros!$A$33:$A$37,0))</f>
        <v>5909.24487179487</v>
      </c>
      <c r="F1036" s="7" t="n">
        <f aca="false">MAX(0,(E1036-D1036)/D1036)</f>
        <v>0.211740435996271</v>
      </c>
      <c r="G1036" s="7" t="n">
        <f aca="false">MIN(K1036*Parâmetros!$B$19,Parâmetros!$B$8)</f>
        <v>0.0889948145842919</v>
      </c>
      <c r="H1036" s="3" t="str">
        <f aca="false">IF(F1036&gt;=Parâmetros!$B$6,"Ação","Acompanhamento")</f>
        <v>Ação</v>
      </c>
      <c r="I1036" s="17" t="n">
        <v>302.229299363057</v>
      </c>
      <c r="J1036" s="11" t="n">
        <f aca="false">D1036*I1036</f>
        <v>1473869.22505308</v>
      </c>
      <c r="K1036" s="7" t="n">
        <f aca="false">Parâmetros!$B$4+Parâmetros!$B$5*F1036</f>
        <v>0.0729351089990678</v>
      </c>
      <c r="L1036" s="11" t="n">
        <f aca="false">D1036*(1+G1036)</f>
        <v>5310.65633557287</v>
      </c>
      <c r="M1036" s="14" t="n">
        <v>0</v>
      </c>
      <c r="N1036" s="4" t="n">
        <v>1</v>
      </c>
      <c r="O1036" s="3" t="str">
        <f aca="false">IF(AND(B1036=4,M1036=1),IF(N1036&lt;0.8,"Subgrupo 7 dias; fronteira de cluster","Subgrupo 7 dias"),IF(N1036&lt;0.8,"Fronteira de cluster",""))</f>
        <v/>
      </c>
    </row>
    <row r="1037" customFormat="false" ht="15" hidden="false" customHeight="false" outlineLevel="0" collapsed="false">
      <c r="A1037" s="14" t="n">
        <v>1036</v>
      </c>
      <c r="B1037" s="14" t="n">
        <v>1</v>
      </c>
      <c r="C1037" s="14" t="s">
        <v>30</v>
      </c>
      <c r="D1037" s="15" t="n">
        <v>4986.20282413351</v>
      </c>
      <c r="E1037" s="16" t="n">
        <f aca="false">INDEX(Parâmetros!$C$33:$C$37,MATCH(B1037,Parâmetros!$A$33:$A$37,0))</f>
        <v>6959.92435130262</v>
      </c>
      <c r="F1037" s="7" t="n">
        <f aca="false">MAX(0,(E1037-D1037)/D1037)</f>
        <v>0.395836590845481</v>
      </c>
      <c r="G1037" s="7" t="n">
        <f aca="false">MIN(K1037*Parâmetros!$B$19,Parâmetros!$B$8)</f>
        <v>0.145152964586837</v>
      </c>
      <c r="H1037" s="3" t="str">
        <f aca="false">IF(F1037&gt;=Parâmetros!$B$6,"Ação","Acompanhamento")</f>
        <v>Ação</v>
      </c>
      <c r="I1037" s="17" t="n">
        <v>301.841825902336</v>
      </c>
      <c r="J1037" s="11" t="n">
        <f aca="false">D1037*I1037</f>
        <v>1505044.56475584</v>
      </c>
      <c r="K1037" s="7" t="n">
        <f aca="false">Parâmetros!$B$4+Parâmetros!$B$5*F1037</f>
        <v>0.11895914771137</v>
      </c>
      <c r="L1037" s="11" t="n">
        <f aca="false">D1037*(1+G1037)</f>
        <v>5709.96494608774</v>
      </c>
      <c r="M1037" s="14" t="n">
        <v>0</v>
      </c>
      <c r="N1037" s="4" t="n">
        <v>1</v>
      </c>
      <c r="O1037" s="3" t="str">
        <f aca="false">IF(AND(B1037=4,M1037=1),IF(N1037&lt;0.8,"Subgrupo 7 dias; fronteira de cluster","Subgrupo 7 dias"),IF(N1037&lt;0.8,"Fronteira de cluster",""))</f>
        <v/>
      </c>
    </row>
    <row r="1038" customFormat="false" ht="15" hidden="false" customHeight="false" outlineLevel="0" collapsed="false">
      <c r="A1038" s="14" t="n">
        <v>1037</v>
      </c>
      <c r="B1038" s="14" t="n">
        <v>0</v>
      </c>
      <c r="C1038" s="14" t="s">
        <v>29</v>
      </c>
      <c r="D1038" s="15" t="n">
        <v>6906.44358974359</v>
      </c>
      <c r="E1038" s="16" t="n">
        <f aca="false">INDEX(Parâmetros!$C$33:$C$37,MATCH(B1038,Parâmetros!$A$33:$A$37,0))</f>
        <v>5476.37033462034</v>
      </c>
      <c r="F1038" s="7" t="n">
        <f aca="false">MAX(0,(E1038-D1038)/D1038)</f>
        <v>0</v>
      </c>
      <c r="G1038" s="7" t="n">
        <f aca="false">MIN(K1038*Parâmetros!$B$19,Parâmetros!$B$8)</f>
        <v>0.0244038339849275</v>
      </c>
      <c r="H1038" s="3" t="str">
        <f aca="false">IF(F1038&gt;=Parâmetros!$B$6,"Ação","Acompanhamento")</f>
        <v>Acompanhamento</v>
      </c>
      <c r="I1038" s="17" t="n">
        <v>302.229299363057</v>
      </c>
      <c r="J1038" s="11" t="n">
        <f aca="false">D1038*I1038</f>
        <v>2087329.60721868</v>
      </c>
      <c r="K1038" s="7" t="n">
        <f aca="false">Parâmetros!$B$4+Parâmetros!$B$5*F1038</f>
        <v>0.02</v>
      </c>
      <c r="L1038" s="11" t="n">
        <f aca="false">D1038*(1+G1038)</f>
        <v>7074.98729253396</v>
      </c>
      <c r="M1038" s="14" t="n">
        <v>0</v>
      </c>
      <c r="N1038" s="4" t="n">
        <v>0.77027027027027</v>
      </c>
      <c r="O1038" s="3" t="str">
        <f aca="false">IF(AND(B1038=4,M1038=1),IF(N1038&lt;0.8,"Subgrupo 7 dias; fronteira de cluster","Subgrupo 7 dias"),IF(N1038&lt;0.8,"Fronteira de cluster",""))</f>
        <v>Fronteira de cluster</v>
      </c>
    </row>
    <row r="1039" customFormat="false" ht="15" hidden="false" customHeight="false" outlineLevel="0" collapsed="false">
      <c r="A1039" s="14" t="n">
        <v>1038</v>
      </c>
      <c r="B1039" s="14" t="n">
        <v>1</v>
      </c>
      <c r="C1039" s="14" t="s">
        <v>30</v>
      </c>
      <c r="D1039" s="15" t="n">
        <v>5897.26205787781</v>
      </c>
      <c r="E1039" s="16" t="n">
        <f aca="false">INDEX(Parâmetros!$C$33:$C$37,MATCH(B1039,Parâmetros!$A$33:$A$37,0))</f>
        <v>6959.92435130262</v>
      </c>
      <c r="F1039" s="7" t="n">
        <f aca="false">MAX(0,(E1039-D1039)/D1039)</f>
        <v>0.180195874457581</v>
      </c>
      <c r="G1039" s="7" t="n">
        <f aca="false">MIN(K1039*Parâmetros!$B$19,Parâmetros!$B$8)</f>
        <v>0.079372211547823</v>
      </c>
      <c r="H1039" s="3" t="str">
        <f aca="false">IF(F1039&gt;=Parâmetros!$B$6,"Ação","Acompanhamento")</f>
        <v>Ação</v>
      </c>
      <c r="I1039" s="17" t="n">
        <v>299.511873350924</v>
      </c>
      <c r="J1039" s="11" t="n">
        <f aca="false">D1039*I1039</f>
        <v>1766300.00659631</v>
      </c>
      <c r="K1039" s="7" t="n">
        <f aca="false">Parâmetros!$B$4+Parâmetros!$B$5*F1039</f>
        <v>0.0650489686143953</v>
      </c>
      <c r="L1039" s="11" t="n">
        <f aca="false">D1039*(1+G1039)</f>
        <v>6365.34078948864</v>
      </c>
      <c r="M1039" s="14" t="n">
        <v>0</v>
      </c>
      <c r="N1039" s="4" t="n">
        <v>1</v>
      </c>
      <c r="O1039" s="3" t="str">
        <f aca="false">IF(AND(B1039=4,M1039=1),IF(N1039&lt;0.8,"Subgrupo 7 dias; fronteira de cluster","Subgrupo 7 dias"),IF(N1039&lt;0.8,"Fronteira de cluster",""))</f>
        <v/>
      </c>
    </row>
    <row r="1040" customFormat="false" ht="15" hidden="false" customHeight="false" outlineLevel="0" collapsed="false">
      <c r="A1040" s="14" t="n">
        <v>1039</v>
      </c>
      <c r="B1040" s="14" t="n">
        <v>4</v>
      </c>
      <c r="C1040" s="14" t="s">
        <v>33</v>
      </c>
      <c r="D1040" s="15" t="n">
        <v>8202.70351105332</v>
      </c>
      <c r="E1040" s="16" t="n">
        <f aca="false">INDEX(Parâmetros!$C$33:$C$37,MATCH(B1040,Parâmetros!$A$33:$A$37,0))</f>
        <v>8837.10512820513</v>
      </c>
      <c r="F1040" s="7" t="n">
        <f aca="false">MAX(0,(E1040-D1040)/D1040)</f>
        <v>0.0773405519652079</v>
      </c>
      <c r="G1040" s="7" t="n">
        <f aca="false">MIN(K1040*Parâmetros!$B$19,Parâmetros!$B$8)</f>
        <v>0.0479964088656973</v>
      </c>
      <c r="H1040" s="3" t="str">
        <f aca="false">IF(F1040&gt;=Parâmetros!$B$6,"Ação","Acompanhamento")</f>
        <v>Acompanhamento</v>
      </c>
      <c r="I1040" s="17" t="n">
        <v>298.742038216561</v>
      </c>
      <c r="J1040" s="11" t="n">
        <f aca="false">D1040*I1040</f>
        <v>2450492.36577821</v>
      </c>
      <c r="K1040" s="7" t="n">
        <f aca="false">Parâmetros!$B$4+Parâmetros!$B$5*F1040</f>
        <v>0.039335137991302</v>
      </c>
      <c r="L1040" s="11" t="n">
        <f aca="false">D1040*(1+G1040)</f>
        <v>8596.40382257392</v>
      </c>
      <c r="M1040" s="14" t="n">
        <v>0</v>
      </c>
      <c r="N1040" s="4" t="n">
        <v>0.586206896551724</v>
      </c>
      <c r="O1040" s="3" t="str">
        <f aca="false">IF(AND(B1040=4,M1040=1),IF(N1040&lt;0.8,"Subgrupo 7 dias; fronteira de cluster","Subgrupo 7 dias"),IF(N1040&lt;0.8,"Fronteira de cluster",""))</f>
        <v>Fronteira de cluster</v>
      </c>
    </row>
    <row r="1041" customFormat="false" ht="15" hidden="false" customHeight="false" outlineLevel="0" collapsed="false">
      <c r="A1041" s="14" t="n">
        <v>1040</v>
      </c>
      <c r="B1041" s="14" t="n">
        <v>1</v>
      </c>
      <c r="C1041" s="14" t="s">
        <v>30</v>
      </c>
      <c r="D1041" s="15" t="n">
        <v>8697.50962772786</v>
      </c>
      <c r="E1041" s="16" t="n">
        <f aca="false">INDEX(Parâmetros!$C$33:$C$37,MATCH(B1041,Parâmetros!$A$33:$A$37,0))</f>
        <v>6959.92435130262</v>
      </c>
      <c r="F1041" s="7" t="n">
        <f aca="false">MAX(0,(E1041-D1041)/D1041)</f>
        <v>0</v>
      </c>
      <c r="G1041" s="7" t="n">
        <f aca="false">MIN(K1041*Parâmetros!$B$19,Parâmetros!$B$8)</f>
        <v>0.0244038339849275</v>
      </c>
      <c r="H1041" s="3" t="str">
        <f aca="false">IF(F1041&gt;=Parâmetros!$B$6,"Ação","Acompanhamento")</f>
        <v>Acompanhamento</v>
      </c>
      <c r="I1041" s="17" t="n">
        <v>301.841825902336</v>
      </c>
      <c r="J1041" s="11" t="n">
        <f aca="false">D1041*I1041</f>
        <v>2625272.18683652</v>
      </c>
      <c r="K1041" s="7" t="n">
        <f aca="false">Parâmetros!$B$4+Parâmetros!$B$5*F1041</f>
        <v>0.02</v>
      </c>
      <c r="L1041" s="11" t="n">
        <f aca="false">D1041*(1+G1041)</f>
        <v>8909.76220876523</v>
      </c>
      <c r="M1041" s="14" t="n">
        <v>0</v>
      </c>
      <c r="N1041" s="4" t="n">
        <v>1</v>
      </c>
      <c r="O1041" s="3" t="str">
        <f aca="false">IF(AND(B1041=4,M1041=1),IF(N1041&lt;0.8,"Subgrupo 7 dias; fronteira de cluster","Subgrupo 7 dias"),IF(N1041&lt;0.8,"Fronteira de cluster",""))</f>
        <v/>
      </c>
    </row>
    <row r="1042" customFormat="false" ht="15" hidden="false" customHeight="false" outlineLevel="0" collapsed="false">
      <c r="A1042" s="14" t="n">
        <v>1041</v>
      </c>
      <c r="B1042" s="14" t="n">
        <v>4</v>
      </c>
      <c r="C1042" s="14" t="s">
        <v>33</v>
      </c>
      <c r="D1042" s="15" t="n">
        <v>6111.7154340836</v>
      </c>
      <c r="E1042" s="16" t="n">
        <f aca="false">INDEX(Parâmetros!$C$33:$C$37,MATCH(B1042,Parâmetros!$A$33:$A$37,0))</f>
        <v>8837.10512820513</v>
      </c>
      <c r="F1042" s="7" t="n">
        <f aca="false">MAX(0,(E1042-D1042)/D1042)</f>
        <v>0.445928761493487</v>
      </c>
      <c r="G1042" s="7" t="n">
        <f aca="false">MIN(K1042*Parâmetros!$B$19,Parâmetros!$B$8)</f>
        <v>0.160433477292319</v>
      </c>
      <c r="H1042" s="3" t="str">
        <f aca="false">IF(F1042&gt;=Parâmetros!$B$6,"Ação","Acompanhamento")</f>
        <v>Ação</v>
      </c>
      <c r="I1042" s="17" t="n">
        <v>299.511873350924</v>
      </c>
      <c r="J1042" s="11" t="n">
        <f aca="false">D1042*I1042</f>
        <v>1830531.33905013</v>
      </c>
      <c r="K1042" s="7" t="n">
        <f aca="false">Parâmetros!$B$4+Parâmetros!$B$5*F1042</f>
        <v>0.131482190373372</v>
      </c>
      <c r="L1042" s="11" t="n">
        <f aca="false">D1042*(1+G1042)</f>
        <v>7092.23919339477</v>
      </c>
      <c r="M1042" s="14" t="n">
        <v>0</v>
      </c>
      <c r="N1042" s="4" t="n">
        <v>1</v>
      </c>
      <c r="O1042" s="3" t="str">
        <f aca="false">IF(AND(B1042=4,M1042=1),IF(N1042&lt;0.8,"Subgrupo 7 dias; fronteira de cluster","Subgrupo 7 dias"),IF(N1042&lt;0.8,"Fronteira de cluster",""))</f>
        <v/>
      </c>
    </row>
    <row r="1043" customFormat="false" ht="15" hidden="false" customHeight="false" outlineLevel="0" collapsed="false">
      <c r="A1043" s="14" t="n">
        <v>1042</v>
      </c>
      <c r="B1043" s="14" t="n">
        <v>0</v>
      </c>
      <c r="C1043" s="14" t="s">
        <v>29</v>
      </c>
      <c r="D1043" s="15" t="n">
        <v>4131.25032092426</v>
      </c>
      <c r="E1043" s="16" t="n">
        <f aca="false">INDEX(Parâmetros!$C$33:$C$37,MATCH(B1043,Parâmetros!$A$33:$A$37,0))</f>
        <v>5476.37033462034</v>
      </c>
      <c r="F1043" s="7" t="n">
        <f aca="false">MAX(0,(E1043-D1043)/D1043)</f>
        <v>0.325596347159892</v>
      </c>
      <c r="G1043" s="7" t="n">
        <f aca="false">MIN(K1043*Parâmetros!$B$19,Parâmetros!$B$8)</f>
        <v>0.123726324012288</v>
      </c>
      <c r="H1043" s="3" t="str">
        <f aca="false">IF(F1043&gt;=Parâmetros!$B$6,"Ação","Acompanhamento")</f>
        <v>Ação</v>
      </c>
      <c r="I1043" s="17" t="n">
        <v>301.841825902336</v>
      </c>
      <c r="J1043" s="11" t="n">
        <f aca="false">D1043*I1043</f>
        <v>1246984.14012739</v>
      </c>
      <c r="K1043" s="7" t="n">
        <f aca="false">Parâmetros!$B$4+Parâmetros!$B$5*F1043</f>
        <v>0.101399086789973</v>
      </c>
      <c r="L1043" s="11" t="n">
        <f aca="false">D1043*(1+G1043)</f>
        <v>4642.39473670681</v>
      </c>
      <c r="M1043" s="14" t="n">
        <v>0</v>
      </c>
      <c r="N1043" s="4" t="n">
        <v>1</v>
      </c>
      <c r="O1043" s="3" t="str">
        <f aca="false">IF(AND(B1043=4,M1043=1),IF(N1043&lt;0.8,"Subgrupo 7 dias; fronteira de cluster","Subgrupo 7 dias"),IF(N1043&lt;0.8,"Fronteira de cluster",""))</f>
        <v/>
      </c>
    </row>
    <row r="1044" customFormat="false" ht="15" hidden="false" customHeight="false" outlineLevel="0" collapsed="false">
      <c r="A1044" s="14" t="n">
        <v>1043</v>
      </c>
      <c r="B1044" s="14" t="n">
        <v>2</v>
      </c>
      <c r="C1044" s="14" t="s">
        <v>31</v>
      </c>
      <c r="D1044" s="15" t="n">
        <v>8792.82820512821</v>
      </c>
      <c r="E1044" s="16" t="n">
        <f aca="false">INDEX(Parâmetros!$C$33:$C$37,MATCH(B1044,Parâmetros!$A$33:$A$37,0))</f>
        <v>6324.80102695764</v>
      </c>
      <c r="F1044" s="7" t="n">
        <f aca="false">MAX(0,(E1044-D1044)/D1044)</f>
        <v>0</v>
      </c>
      <c r="G1044" s="7" t="n">
        <f aca="false">MIN(K1044*Parâmetros!$B$19,Parâmetros!$B$8)</f>
        <v>0.0244038339849275</v>
      </c>
      <c r="H1044" s="3" t="str">
        <f aca="false">IF(F1044&gt;=Parâmetros!$B$6,"Ação","Acompanhamento")</f>
        <v>Acompanhamento</v>
      </c>
      <c r="I1044" s="17" t="n">
        <v>302.229299363057</v>
      </c>
      <c r="J1044" s="11" t="n">
        <f aca="false">D1044*I1044</f>
        <v>2657450.30785563</v>
      </c>
      <c r="K1044" s="7" t="n">
        <f aca="false">Parâmetros!$B$4+Parâmetros!$B$5*F1044</f>
        <v>0.02</v>
      </c>
      <c r="L1044" s="11" t="n">
        <f aca="false">D1044*(1+G1044)</f>
        <v>9007.40692490414</v>
      </c>
      <c r="M1044" s="14" t="n">
        <v>0</v>
      </c>
      <c r="N1044" s="4" t="n">
        <v>0.975</v>
      </c>
      <c r="O1044" s="3" t="str">
        <f aca="false">IF(AND(B1044=4,M1044=1),IF(N1044&lt;0.8,"Subgrupo 7 dias; fronteira de cluster","Subgrupo 7 dias"),IF(N1044&lt;0.8,"Fronteira de cluster",""))</f>
        <v/>
      </c>
    </row>
    <row r="1045" customFormat="false" ht="15" hidden="false" customHeight="false" outlineLevel="0" collapsed="false">
      <c r="A1045" s="14" t="n">
        <v>1044</v>
      </c>
      <c r="B1045" s="14" t="n">
        <v>0</v>
      </c>
      <c r="C1045" s="14" t="s">
        <v>29</v>
      </c>
      <c r="D1045" s="15" t="n">
        <v>6622.01930501931</v>
      </c>
      <c r="E1045" s="16" t="n">
        <f aca="false">INDEX(Parâmetros!$C$33:$C$37,MATCH(B1045,Parâmetros!$A$33:$A$37,0))</f>
        <v>5476.37033462034</v>
      </c>
      <c r="F1045" s="7" t="n">
        <f aca="false">MAX(0,(E1045-D1045)/D1045)</f>
        <v>0</v>
      </c>
      <c r="G1045" s="7" t="n">
        <f aca="false">MIN(K1045*Parâmetros!$B$19,Parâmetros!$B$8)</f>
        <v>0.0244038339849275</v>
      </c>
      <c r="H1045" s="3" t="str">
        <f aca="false">IF(F1045&gt;=Parâmetros!$B$6,"Ação","Acompanhamento")</f>
        <v>Acompanhamento</v>
      </c>
      <c r="I1045" s="17" t="n">
        <v>301.066878980892</v>
      </c>
      <c r="J1045" s="11" t="n">
        <f aca="false">D1045*I1045</f>
        <v>1993670.68471338</v>
      </c>
      <c r="K1045" s="7" t="n">
        <f aca="false">Parâmetros!$B$4+Parâmetros!$B$5*F1045</f>
        <v>0.02</v>
      </c>
      <c r="L1045" s="11" t="n">
        <f aca="false">D1045*(1+G1045)</f>
        <v>6783.62196478398</v>
      </c>
      <c r="M1045" s="14" t="n">
        <v>0</v>
      </c>
      <c r="N1045" s="4" t="n">
        <v>0.75</v>
      </c>
      <c r="O1045" s="3" t="str">
        <f aca="false">IF(AND(B1045=4,M1045=1),IF(N1045&lt;0.8,"Subgrupo 7 dias; fronteira de cluster","Subgrupo 7 dias"),IF(N1045&lt;0.8,"Fronteira de cluster",""))</f>
        <v>Fronteira de cluster</v>
      </c>
    </row>
    <row r="1046" customFormat="false" ht="15" hidden="false" customHeight="false" outlineLevel="0" collapsed="false">
      <c r="A1046" s="14" t="n">
        <v>1045</v>
      </c>
      <c r="B1046" s="14" t="n">
        <v>2</v>
      </c>
      <c r="C1046" s="14" t="s">
        <v>31</v>
      </c>
      <c r="D1046" s="15" t="n">
        <v>7535.88674971687</v>
      </c>
      <c r="E1046" s="16" t="n">
        <f aca="false">INDEX(Parâmetros!$C$33:$C$37,MATCH(B1046,Parâmetros!$A$33:$A$37,0))</f>
        <v>6324.80102695764</v>
      </c>
      <c r="F1046" s="7" t="n">
        <f aca="false">MAX(0,(E1046-D1046)/D1046)</f>
        <v>0</v>
      </c>
      <c r="G1046" s="7" t="n">
        <f aca="false">MIN(K1046*Parâmetros!$B$19,Parâmetros!$B$8)</f>
        <v>0.0244038339849275</v>
      </c>
      <c r="H1046" s="3" t="str">
        <f aca="false">IF(F1046&gt;=Parâmetros!$B$6,"Ação","Acompanhamento")</f>
        <v>Acompanhamento</v>
      </c>
      <c r="I1046" s="17" t="n">
        <v>342.13906581741</v>
      </c>
      <c r="J1046" s="11" t="n">
        <f aca="false">D1046*I1046</f>
        <v>2578321.25265393</v>
      </c>
      <c r="K1046" s="7" t="n">
        <f aca="false">Parâmetros!$B$4+Parâmetros!$B$5*F1046</f>
        <v>0.02</v>
      </c>
      <c r="L1046" s="11" t="n">
        <f aca="false">D1046*(1+G1046)</f>
        <v>7719.79127888618</v>
      </c>
      <c r="M1046" s="14" t="n">
        <v>1</v>
      </c>
      <c r="N1046" s="4" t="n">
        <v>0.973684210526316</v>
      </c>
      <c r="O1046" s="3" t="str">
        <f aca="false">IF(AND(B1046=4,M1046=1),IF(N1046&lt;0.8,"Subgrupo 7 dias; fronteira de cluster","Subgrupo 7 dias"),IF(N1046&lt;0.8,"Fronteira de cluster",""))</f>
        <v/>
      </c>
    </row>
    <row r="1047" customFormat="false" ht="15" hidden="false" customHeight="false" outlineLevel="0" collapsed="false">
      <c r="A1047" s="14" t="n">
        <v>1046</v>
      </c>
      <c r="B1047" s="14" t="n">
        <v>1</v>
      </c>
      <c r="C1047" s="14" t="s">
        <v>30</v>
      </c>
      <c r="D1047" s="15" t="n">
        <v>8698.35384615385</v>
      </c>
      <c r="E1047" s="16" t="n">
        <f aca="false">INDEX(Parâmetros!$C$33:$C$37,MATCH(B1047,Parâmetros!$A$33:$A$37,0))</f>
        <v>6959.92435130262</v>
      </c>
      <c r="F1047" s="7" t="n">
        <f aca="false">MAX(0,(E1047-D1047)/D1047)</f>
        <v>0</v>
      </c>
      <c r="G1047" s="7" t="n">
        <f aca="false">MIN(K1047*Parâmetros!$B$19,Parâmetros!$B$8)</f>
        <v>0.0244038339849275</v>
      </c>
      <c r="H1047" s="3" t="str">
        <f aca="false">IF(F1047&gt;=Parâmetros!$B$6,"Ação","Acompanhamento")</f>
        <v>Acompanhamento</v>
      </c>
      <c r="I1047" s="17" t="n">
        <v>302.229299363057</v>
      </c>
      <c r="J1047" s="11" t="n">
        <f aca="false">D1047*I1047</f>
        <v>2628897.38853503</v>
      </c>
      <c r="K1047" s="7" t="n">
        <f aca="false">Parâmetros!$B$4+Parâmetros!$B$5*F1047</f>
        <v>0.02</v>
      </c>
      <c r="L1047" s="11" t="n">
        <f aca="false">D1047*(1+G1047)</f>
        <v>8910.62702935754</v>
      </c>
      <c r="M1047" s="14" t="n">
        <v>0</v>
      </c>
      <c r="N1047" s="4" t="n">
        <v>1</v>
      </c>
      <c r="O1047" s="3" t="str">
        <f aca="false">IF(AND(B1047=4,M1047=1),IF(N1047&lt;0.8,"Subgrupo 7 dias; fronteira de cluster","Subgrupo 7 dias"),IF(N1047&lt;0.8,"Fronteira de cluster",""))</f>
        <v/>
      </c>
    </row>
    <row r="1048" customFormat="false" ht="15" hidden="false" customHeight="false" outlineLevel="0" collapsed="false">
      <c r="A1048" s="14" t="n">
        <v>1047</v>
      </c>
      <c r="B1048" s="14" t="n">
        <v>0</v>
      </c>
      <c r="C1048" s="14" t="s">
        <v>29</v>
      </c>
      <c r="D1048" s="15" t="n">
        <v>4885.46907216495</v>
      </c>
      <c r="E1048" s="16" t="n">
        <f aca="false">INDEX(Parâmetros!$C$33:$C$37,MATCH(B1048,Parâmetros!$A$33:$A$37,0))</f>
        <v>5476.37033462034</v>
      </c>
      <c r="F1048" s="7" t="n">
        <f aca="false">MAX(0,(E1048-D1048)/D1048)</f>
        <v>0.120950773349904</v>
      </c>
      <c r="G1048" s="7" t="n">
        <f aca="false">MIN(K1048*Parâmetros!$B$19,Parâmetros!$B$8)</f>
        <v>0.0612996163996729</v>
      </c>
      <c r="H1048" s="3" t="str">
        <f aca="false">IF(F1048&gt;=Parâmetros!$B$6,"Ação","Acompanhamento")</f>
        <v>Ação</v>
      </c>
      <c r="I1048" s="17" t="n">
        <v>300.67940552017</v>
      </c>
      <c r="J1048" s="11" t="n">
        <f aca="false">D1048*I1048</f>
        <v>1468959.93630573</v>
      </c>
      <c r="K1048" s="7" t="n">
        <f aca="false">Parâmetros!$B$4+Parâmetros!$B$5*F1048</f>
        <v>0.0502376933374759</v>
      </c>
      <c r="L1048" s="11" t="n">
        <f aca="false">D1048*(1+G1048)</f>
        <v>5184.94645222113</v>
      </c>
      <c r="M1048" s="14" t="n">
        <v>0</v>
      </c>
      <c r="N1048" s="4" t="n">
        <v>0.946666666666667</v>
      </c>
      <c r="O1048" s="3" t="str">
        <f aca="false">IF(AND(B1048=4,M1048=1),IF(N1048&lt;0.8,"Subgrupo 7 dias; fronteira de cluster","Subgrupo 7 dias"),IF(N1048&lt;0.8,"Fronteira de cluster",""))</f>
        <v/>
      </c>
    </row>
    <row r="1049" customFormat="false" ht="15" hidden="false" customHeight="false" outlineLevel="0" collapsed="false">
      <c r="A1049" s="14" t="n">
        <v>1048</v>
      </c>
      <c r="B1049" s="14" t="n">
        <v>1</v>
      </c>
      <c r="C1049" s="14" t="s">
        <v>30</v>
      </c>
      <c r="D1049" s="15" t="n">
        <v>6887.16858237548</v>
      </c>
      <c r="E1049" s="16" t="n">
        <f aca="false">INDEX(Parâmetros!$C$33:$C$37,MATCH(B1049,Parâmetros!$A$33:$A$37,0))</f>
        <v>6959.92435130262</v>
      </c>
      <c r="F1049" s="7" t="n">
        <f aca="false">MAX(0,(E1049-D1049)/D1049)</f>
        <v>0.0105639593480153</v>
      </c>
      <c r="G1049" s="7" t="n">
        <f aca="false">MIN(K1049*Parâmetros!$B$19,Parâmetros!$B$8)</f>
        <v>0.0276263478618335</v>
      </c>
      <c r="H1049" s="3" t="str">
        <f aca="false">IF(F1049&gt;=Parâmetros!$B$6,"Ação","Acompanhamento")</f>
        <v>Acompanhamento</v>
      </c>
      <c r="I1049" s="17" t="n">
        <v>303.391719745223</v>
      </c>
      <c r="J1049" s="11" t="n">
        <f aca="false">D1049*I1049</f>
        <v>2089509.92038217</v>
      </c>
      <c r="K1049" s="7" t="n">
        <f aca="false">Parâmetros!$B$4+Parâmetros!$B$5*F1049</f>
        <v>0.0226409898370038</v>
      </c>
      <c r="L1049" s="11" t="n">
        <f aca="false">D1049*(1+G1049)</f>
        <v>7077.43589741528</v>
      </c>
      <c r="M1049" s="14" t="n">
        <v>0</v>
      </c>
      <c r="N1049" s="4" t="n">
        <v>1</v>
      </c>
      <c r="O1049" s="3" t="str">
        <f aca="false">IF(AND(B1049=4,M1049=1),IF(N1049&lt;0.8,"Subgrupo 7 dias; fronteira de cluster","Subgrupo 7 dias"),IF(N1049&lt;0.8,"Fronteira de cluster",""))</f>
        <v/>
      </c>
    </row>
    <row r="1050" customFormat="false" ht="15" hidden="false" customHeight="false" outlineLevel="0" collapsed="false">
      <c r="A1050" s="14" t="n">
        <v>1049</v>
      </c>
      <c r="B1050" s="14" t="n">
        <v>0</v>
      </c>
      <c r="C1050" s="14" t="s">
        <v>29</v>
      </c>
      <c r="D1050" s="15" t="n">
        <v>3985.37942122187</v>
      </c>
      <c r="E1050" s="16" t="n">
        <f aca="false">INDEX(Parâmetros!$C$33:$C$37,MATCH(B1050,Parâmetros!$A$33:$A$37,0))</f>
        <v>5476.37033462034</v>
      </c>
      <c r="F1050" s="7" t="n">
        <f aca="false">MAX(0,(E1050-D1050)/D1050)</f>
        <v>0.374115173440965</v>
      </c>
      <c r="G1050" s="7" t="n">
        <f aca="false">MIN(K1050*Parâmetros!$B$19,Parâmetros!$B$8)</f>
        <v>0.138526891283623</v>
      </c>
      <c r="H1050" s="3" t="str">
        <f aca="false">IF(F1050&gt;=Parâmetros!$B$6,"Ação","Acompanhamento")</f>
        <v>Ação</v>
      </c>
      <c r="I1050" s="17" t="n">
        <v>299.511873350924</v>
      </c>
      <c r="J1050" s="11" t="n">
        <f aca="false">D1050*I1050</f>
        <v>1193668.45646438</v>
      </c>
      <c r="K1050" s="7" t="n">
        <f aca="false">Parâmetros!$B$4+Parâmetros!$B$5*F1050</f>
        <v>0.113528793360241</v>
      </c>
      <c r="L1050" s="11" t="n">
        <f aca="false">D1050*(1+G1050)</f>
        <v>4537.46164302945</v>
      </c>
      <c r="M1050" s="14" t="n">
        <v>0</v>
      </c>
      <c r="N1050" s="4" t="n">
        <v>0.975609756097561</v>
      </c>
      <c r="O1050" s="3" t="str">
        <f aca="false">IF(AND(B1050=4,M1050=1),IF(N1050&lt;0.8,"Subgrupo 7 dias; fronteira de cluster","Subgrupo 7 dias"),IF(N1050&lt;0.8,"Fronteira de cluster",""))</f>
        <v/>
      </c>
    </row>
    <row r="1051" customFormat="false" ht="15" hidden="false" customHeight="false" outlineLevel="0" collapsed="false">
      <c r="A1051" s="14" t="n">
        <v>1050</v>
      </c>
      <c r="B1051" s="14" t="n">
        <v>1</v>
      </c>
      <c r="C1051" s="14" t="s">
        <v>30</v>
      </c>
      <c r="D1051" s="15" t="n">
        <v>7389.51472471191</v>
      </c>
      <c r="E1051" s="16" t="n">
        <f aca="false">INDEX(Parâmetros!$C$33:$C$37,MATCH(B1051,Parâmetros!$A$33:$A$37,0))</f>
        <v>6959.92435130262</v>
      </c>
      <c r="F1051" s="7" t="n">
        <f aca="false">MAX(0,(E1051-D1051)/D1051)</f>
        <v>0</v>
      </c>
      <c r="G1051" s="7" t="n">
        <f aca="false">MIN(K1051*Parâmetros!$B$19,Parâmetros!$B$8)</f>
        <v>0.0244038339849275</v>
      </c>
      <c r="H1051" s="3" t="str">
        <f aca="false">IF(F1051&gt;=Parâmetros!$B$6,"Ação","Acompanhamento")</f>
        <v>Acompanhamento</v>
      </c>
      <c r="I1051" s="17" t="n">
        <v>302.616772823779</v>
      </c>
      <c r="J1051" s="11" t="n">
        <f aca="false">D1051*I1051</f>
        <v>2236191.09872611</v>
      </c>
      <c r="K1051" s="7" t="n">
        <f aca="false">Parâmetros!$B$4+Parâmetros!$B$5*F1051</f>
        <v>0.02</v>
      </c>
      <c r="L1051" s="11" t="n">
        <f aca="false">D1051*(1+G1051)</f>
        <v>7569.84721528295</v>
      </c>
      <c r="M1051" s="14" t="n">
        <v>0</v>
      </c>
      <c r="N1051" s="4" t="n">
        <v>1</v>
      </c>
      <c r="O1051" s="3" t="str">
        <f aca="false">IF(AND(B1051=4,M1051=1),IF(N1051&lt;0.8,"Subgrupo 7 dias; fronteira de cluster","Subgrupo 7 dias"),IF(N1051&lt;0.8,"Fronteira de cluster",""))</f>
        <v/>
      </c>
    </row>
    <row r="1052" customFormat="false" ht="15" hidden="false" customHeight="false" outlineLevel="0" collapsed="false">
      <c r="A1052" s="14" t="n">
        <v>1051</v>
      </c>
      <c r="B1052" s="14" t="n">
        <v>0</v>
      </c>
      <c r="C1052" s="14" t="s">
        <v>29</v>
      </c>
      <c r="D1052" s="15" t="n">
        <v>7490.75848563969</v>
      </c>
      <c r="E1052" s="16" t="n">
        <f aca="false">INDEX(Parâmetros!$C$33:$C$37,MATCH(B1052,Parâmetros!$A$33:$A$37,0))</f>
        <v>5476.37033462034</v>
      </c>
      <c r="F1052" s="7" t="n">
        <f aca="false">MAX(0,(E1052-D1052)/D1052)</f>
        <v>0</v>
      </c>
      <c r="G1052" s="7" t="n">
        <f aca="false">MIN(K1052*Parâmetros!$B$19,Parâmetros!$B$8)</f>
        <v>0.0244038339849275</v>
      </c>
      <c r="H1052" s="3" t="str">
        <f aca="false">IF(F1052&gt;=Parâmetros!$B$6,"Ação","Acompanhamento")</f>
        <v>Acompanhamento</v>
      </c>
      <c r="I1052" s="17" t="n">
        <v>296.804670912951</v>
      </c>
      <c r="J1052" s="11" t="n">
        <f aca="false">D1052*I1052</f>
        <v>2223292.10721868</v>
      </c>
      <c r="K1052" s="7" t="n">
        <f aca="false">Parâmetros!$B$4+Parâmetros!$B$5*F1052</f>
        <v>0.02</v>
      </c>
      <c r="L1052" s="11" t="n">
        <f aca="false">D1052*(1+G1052)</f>
        <v>7673.56171214443</v>
      </c>
      <c r="M1052" s="14" t="n">
        <v>0</v>
      </c>
      <c r="N1052" s="4" t="n">
        <v>0.972972972972973</v>
      </c>
      <c r="O1052" s="3" t="str">
        <f aca="false">IF(AND(B1052=4,M1052=1),IF(N1052&lt;0.8,"Subgrupo 7 dias; fronteira de cluster","Subgrupo 7 dias"),IF(N1052&lt;0.8,"Fronteira de cluster",""))</f>
        <v/>
      </c>
    </row>
    <row r="1053" customFormat="false" ht="15" hidden="false" customHeight="false" outlineLevel="0" collapsed="false">
      <c r="A1053" s="14" t="n">
        <v>1052</v>
      </c>
      <c r="B1053" s="14" t="n">
        <v>1</v>
      </c>
      <c r="C1053" s="14" t="s">
        <v>30</v>
      </c>
      <c r="D1053" s="15" t="n">
        <v>7269.39537869063</v>
      </c>
      <c r="E1053" s="16" t="n">
        <f aca="false">INDEX(Parâmetros!$C$33:$C$37,MATCH(B1053,Parâmetros!$A$33:$A$37,0))</f>
        <v>6959.92435130262</v>
      </c>
      <c r="F1053" s="7" t="n">
        <f aca="false">MAX(0,(E1053-D1053)/D1053)</f>
        <v>0</v>
      </c>
      <c r="G1053" s="7" t="n">
        <f aca="false">MIN(K1053*Parâmetros!$B$19,Parâmetros!$B$8)</f>
        <v>0.0244038339849275</v>
      </c>
      <c r="H1053" s="3" t="str">
        <f aca="false">IF(F1053&gt;=Parâmetros!$B$6,"Ação","Acompanhamento")</f>
        <v>Acompanhamento</v>
      </c>
      <c r="I1053" s="17" t="n">
        <v>301.841825902336</v>
      </c>
      <c r="J1053" s="11" t="n">
        <f aca="false">D1053*I1053</f>
        <v>2194207.57430998</v>
      </c>
      <c r="K1053" s="7" t="n">
        <f aca="false">Parâmetros!$B$4+Parâmetros!$B$5*F1053</f>
        <v>0.02</v>
      </c>
      <c r="L1053" s="11" t="n">
        <f aca="false">D1053*(1+G1053)</f>
        <v>7446.79649668299</v>
      </c>
      <c r="M1053" s="14" t="n">
        <v>0</v>
      </c>
      <c r="N1053" s="4" t="n">
        <v>1</v>
      </c>
      <c r="O1053" s="3" t="str">
        <f aca="false">IF(AND(B1053=4,M1053=1),IF(N1053&lt;0.8,"Subgrupo 7 dias; fronteira de cluster","Subgrupo 7 dias"),IF(N1053&lt;0.8,"Fronteira de cluster",""))</f>
        <v/>
      </c>
    </row>
    <row r="1054" customFormat="false" ht="15" hidden="false" customHeight="false" outlineLevel="0" collapsed="false">
      <c r="A1054" s="14" t="n">
        <v>1053</v>
      </c>
      <c r="B1054" s="14" t="n">
        <v>0</v>
      </c>
      <c r="C1054" s="14" t="s">
        <v>29</v>
      </c>
      <c r="D1054" s="15" t="n">
        <v>8932.30739795919</v>
      </c>
      <c r="E1054" s="16" t="n">
        <f aca="false">INDEX(Parâmetros!$C$33:$C$37,MATCH(B1054,Parâmetros!$A$33:$A$37,0))</f>
        <v>5476.37033462034</v>
      </c>
      <c r="F1054" s="7" t="n">
        <f aca="false">MAX(0,(E1054-D1054)/D1054)</f>
        <v>0</v>
      </c>
      <c r="G1054" s="7" t="n">
        <f aca="false">MIN(K1054*Parâmetros!$B$19,Parâmetros!$B$8)</f>
        <v>0.0244038339849275</v>
      </c>
      <c r="H1054" s="3" t="str">
        <f aca="false">IF(F1054&gt;=Parâmetros!$B$6,"Ação","Acompanhamento")</f>
        <v>Acompanhamento</v>
      </c>
      <c r="I1054" s="17" t="n">
        <v>303.779193205945</v>
      </c>
      <c r="J1054" s="11" t="n">
        <f aca="false">D1054*I1054</f>
        <v>2713449.13481953</v>
      </c>
      <c r="K1054" s="7" t="n">
        <f aca="false">Parâmetros!$B$4+Parâmetros!$B$5*F1054</f>
        <v>0.02</v>
      </c>
      <c r="L1054" s="11" t="n">
        <f aca="false">D1054*(1+G1054)</f>
        <v>9150.28994480132</v>
      </c>
      <c r="M1054" s="14" t="n">
        <v>0</v>
      </c>
      <c r="N1054" s="4" t="n">
        <v>0.987341772151899</v>
      </c>
      <c r="O1054" s="3" t="str">
        <f aca="false">IF(AND(B1054=4,M1054=1),IF(N1054&lt;0.8,"Subgrupo 7 dias; fronteira de cluster","Subgrupo 7 dias"),IF(N1054&lt;0.8,"Fronteira de cluster",""))</f>
        <v/>
      </c>
    </row>
    <row r="1055" customFormat="false" ht="15" hidden="false" customHeight="false" outlineLevel="0" collapsed="false">
      <c r="A1055" s="14" t="n">
        <v>1054</v>
      </c>
      <c r="B1055" s="14" t="n">
        <v>1</v>
      </c>
      <c r="C1055" s="14" t="s">
        <v>30</v>
      </c>
      <c r="D1055" s="15" t="n">
        <v>6034.23214285714</v>
      </c>
      <c r="E1055" s="16" t="n">
        <f aca="false">INDEX(Parâmetros!$C$33:$C$37,MATCH(B1055,Parâmetros!$A$33:$A$37,0))</f>
        <v>6959.92435130262</v>
      </c>
      <c r="F1055" s="7" t="n">
        <f aca="false">MAX(0,(E1055-D1055)/D1055)</f>
        <v>0.153406794191907</v>
      </c>
      <c r="G1055" s="7" t="n">
        <f aca="false">MIN(K1055*Parâmetros!$B$19,Parâmetros!$B$8)</f>
        <v>0.071200258205168</v>
      </c>
      <c r="H1055" s="3" t="str">
        <f aca="false">IF(F1055&gt;=Parâmetros!$B$6,"Ação","Acompanhamento")</f>
        <v>Ação</v>
      </c>
      <c r="I1055" s="17" t="n">
        <v>303.779193205945</v>
      </c>
      <c r="J1055" s="11" t="n">
        <f aca="false">D1055*I1055</f>
        <v>1833074.17197452</v>
      </c>
      <c r="K1055" s="7" t="n">
        <f aca="false">Parâmetros!$B$4+Parâmetros!$B$5*F1055</f>
        <v>0.0583516985479769</v>
      </c>
      <c r="L1055" s="11" t="n">
        <f aca="false">D1055*(1+G1055)</f>
        <v>6463.8710294985</v>
      </c>
      <c r="M1055" s="14" t="n">
        <v>0</v>
      </c>
      <c r="N1055" s="4" t="n">
        <v>0.641025641025641</v>
      </c>
      <c r="O1055" s="3" t="str">
        <f aca="false">IF(AND(B1055=4,M1055=1),IF(N1055&lt;0.8,"Subgrupo 7 dias; fronteira de cluster","Subgrupo 7 dias"),IF(N1055&lt;0.8,"Fronteira de cluster",""))</f>
        <v>Fronteira de cluster</v>
      </c>
    </row>
    <row r="1056" customFormat="false" ht="15" hidden="false" customHeight="false" outlineLevel="0" collapsed="false">
      <c r="A1056" s="14" t="n">
        <v>1055</v>
      </c>
      <c r="B1056" s="14" t="n">
        <v>4</v>
      </c>
      <c r="C1056" s="14" t="s">
        <v>33</v>
      </c>
      <c r="D1056" s="15" t="n">
        <v>7914.5938697318</v>
      </c>
      <c r="E1056" s="16" t="n">
        <f aca="false">INDEX(Parâmetros!$C$33:$C$37,MATCH(B1056,Parâmetros!$A$33:$A$37,0))</f>
        <v>8837.10512820513</v>
      </c>
      <c r="F1056" s="7" t="n">
        <f aca="false">MAX(0,(E1056-D1056)/D1056)</f>
        <v>0.11655825600873</v>
      </c>
      <c r="G1056" s="7" t="n">
        <f aca="false">MIN(K1056*Parâmetros!$B$19,Parâmetros!$B$8)</f>
        <v>0.0599596881000491</v>
      </c>
      <c r="H1056" s="3" t="str">
        <f aca="false">IF(F1056&gt;=Parâmetros!$B$6,"Ação","Acompanhamento")</f>
        <v>Ação</v>
      </c>
      <c r="I1056" s="17" t="n">
        <v>303.391719745223</v>
      </c>
      <c r="J1056" s="11" t="n">
        <f aca="false">D1056*I1056</f>
        <v>2401222.24522293</v>
      </c>
      <c r="K1056" s="7" t="n">
        <f aca="false">Parâmetros!$B$4+Parâmetros!$B$5*F1056</f>
        <v>0.0491395640021826</v>
      </c>
      <c r="L1056" s="11" t="n">
        <f aca="false">D1056*(1+G1056)</f>
        <v>8389.15044959948</v>
      </c>
      <c r="M1056" s="14" t="n">
        <v>0</v>
      </c>
      <c r="N1056" s="4" t="n">
        <v>0.715909090909091</v>
      </c>
      <c r="O1056" s="3" t="str">
        <f aca="false">IF(AND(B1056=4,M1056=1),IF(N1056&lt;0.8,"Subgrupo 7 dias; fronteira de cluster","Subgrupo 7 dias"),IF(N1056&lt;0.8,"Fronteira de cluster",""))</f>
        <v>Fronteira de cluster</v>
      </c>
    </row>
    <row r="1057" customFormat="false" ht="15" hidden="false" customHeight="false" outlineLevel="0" collapsed="false">
      <c r="A1057" s="14" t="n">
        <v>1056</v>
      </c>
      <c r="B1057" s="14" t="n">
        <v>2</v>
      </c>
      <c r="C1057" s="14" t="s">
        <v>31</v>
      </c>
      <c r="D1057" s="15" t="n">
        <v>3877.29855537721</v>
      </c>
      <c r="E1057" s="16" t="n">
        <f aca="false">INDEX(Parâmetros!$C$33:$C$37,MATCH(B1057,Parâmetros!$A$33:$A$37,0))</f>
        <v>6324.80102695764</v>
      </c>
      <c r="F1057" s="7" t="n">
        <f aca="false">MAX(0,(E1057-D1057)/D1057)</f>
        <v>0.631239105429766</v>
      </c>
      <c r="G1057" s="7" t="n">
        <f aca="false">MIN(K1057*Parâmetros!$B$19,Parâmetros!$B$8)</f>
        <v>0.2</v>
      </c>
      <c r="H1057" s="3" t="str">
        <f aca="false">IF(F1057&gt;=Parâmetros!$B$6,"Ação","Acompanhamento")</f>
        <v>Ação</v>
      </c>
      <c r="I1057" s="17" t="n">
        <v>299.993403693931</v>
      </c>
      <c r="J1057" s="11" t="n">
        <f aca="false">D1057*I1057</f>
        <v>1163163.99076517</v>
      </c>
      <c r="K1057" s="7" t="n">
        <f aca="false">Parâmetros!$B$4+Parâmetros!$B$5*F1057</f>
        <v>0.177809776357441</v>
      </c>
      <c r="L1057" s="11" t="n">
        <f aca="false">D1057*(1+G1057)</f>
        <v>4652.75826645265</v>
      </c>
      <c r="M1057" s="14" t="n">
        <v>0</v>
      </c>
      <c r="N1057" s="4" t="n">
        <v>0.951219512195122</v>
      </c>
      <c r="O1057" s="3" t="str">
        <f aca="false">IF(AND(B1057=4,M1057=1),IF(N1057&lt;0.8,"Subgrupo 7 dias; fronteira de cluster","Subgrupo 7 dias"),IF(N1057&lt;0.8,"Fronteira de cluster",""))</f>
        <v/>
      </c>
    </row>
    <row r="1058" customFormat="false" ht="15" hidden="false" customHeight="false" outlineLevel="0" collapsed="false">
      <c r="A1058" s="14" t="n">
        <v>1057</v>
      </c>
      <c r="B1058" s="14" t="n">
        <v>1</v>
      </c>
      <c r="C1058" s="14" t="s">
        <v>30</v>
      </c>
      <c r="D1058" s="15" t="n">
        <v>6423.99617346939</v>
      </c>
      <c r="E1058" s="16" t="n">
        <f aca="false">INDEX(Parâmetros!$C$33:$C$37,MATCH(B1058,Parâmetros!$A$33:$A$37,0))</f>
        <v>6959.92435130262</v>
      </c>
      <c r="F1058" s="7" t="n">
        <f aca="false">MAX(0,(E1058-D1058)/D1058)</f>
        <v>0.0834259802405512</v>
      </c>
      <c r="G1058" s="7" t="n">
        <f aca="false">MIN(K1058*Parâmetros!$B$19,Parâmetros!$B$8)</f>
        <v>0.0498527561326806</v>
      </c>
      <c r="H1058" s="3" t="str">
        <f aca="false">IF(F1058&gt;=Parâmetros!$B$6,"Ação","Acompanhamento")</f>
        <v>Acompanhamento</v>
      </c>
      <c r="I1058" s="17" t="n">
        <v>303.779193205945</v>
      </c>
      <c r="J1058" s="11" t="n">
        <f aca="false">D1058*I1058</f>
        <v>1951476.37473461</v>
      </c>
      <c r="K1058" s="7" t="n">
        <f aca="false">Parâmetros!$B$4+Parâmetros!$B$5*F1058</f>
        <v>0.0408564950601378</v>
      </c>
      <c r="L1058" s="11" t="n">
        <f aca="false">D1058*(1+G1058)</f>
        <v>6744.25008810263</v>
      </c>
      <c r="M1058" s="14" t="n">
        <v>0</v>
      </c>
      <c r="N1058" s="4" t="n">
        <v>1</v>
      </c>
      <c r="O1058" s="3" t="str">
        <f aca="false">IF(AND(B1058=4,M1058=1),IF(N1058&lt;0.8,"Subgrupo 7 dias; fronteira de cluster","Subgrupo 7 dias"),IF(N1058&lt;0.8,"Fronteira de cluster",""))</f>
        <v/>
      </c>
    </row>
    <row r="1059" customFormat="false" ht="15" hidden="false" customHeight="false" outlineLevel="0" collapsed="false">
      <c r="A1059" s="14" t="n">
        <v>1058</v>
      </c>
      <c r="B1059" s="14" t="n">
        <v>0</v>
      </c>
      <c r="C1059" s="14" t="s">
        <v>29</v>
      </c>
      <c r="D1059" s="15" t="n">
        <v>7263.33889602054</v>
      </c>
      <c r="E1059" s="16" t="n">
        <f aca="false">INDEX(Parâmetros!$C$33:$C$37,MATCH(B1059,Parâmetros!$A$33:$A$37,0))</f>
        <v>5476.37033462034</v>
      </c>
      <c r="F1059" s="7" t="n">
        <f aca="false">MAX(0,(E1059-D1059)/D1059)</f>
        <v>0</v>
      </c>
      <c r="G1059" s="7" t="n">
        <f aca="false">MIN(K1059*Parâmetros!$B$19,Parâmetros!$B$8)</f>
        <v>0.0244038339849275</v>
      </c>
      <c r="H1059" s="3" t="str">
        <f aca="false">IF(F1059&gt;=Parâmetros!$B$6,"Ação","Acompanhamento")</f>
        <v>Acompanhamento</v>
      </c>
      <c r="I1059" s="17" t="n">
        <v>301.841825902336</v>
      </c>
      <c r="J1059" s="11" t="n">
        <f aca="false">D1059*I1059</f>
        <v>2192379.47452229</v>
      </c>
      <c r="K1059" s="7" t="n">
        <f aca="false">Parâmetros!$B$4+Parâmetros!$B$5*F1059</f>
        <v>0.02</v>
      </c>
      <c r="L1059" s="11" t="n">
        <f aca="false">D1059*(1+G1059)</f>
        <v>7440.59221261529</v>
      </c>
      <c r="M1059" s="14" t="n">
        <v>0</v>
      </c>
      <c r="N1059" s="4" t="n">
        <v>0.986666666666667</v>
      </c>
      <c r="O1059" s="3" t="str">
        <f aca="false">IF(AND(B1059=4,M1059=1),IF(N1059&lt;0.8,"Subgrupo 7 dias; fronteira de cluster","Subgrupo 7 dias"),IF(N1059&lt;0.8,"Fronteira de cluster",""))</f>
        <v/>
      </c>
    </row>
    <row r="1060" customFormat="false" ht="15" hidden="false" customHeight="false" outlineLevel="0" collapsed="false">
      <c r="A1060" s="14" t="n">
        <v>1059</v>
      </c>
      <c r="B1060" s="14" t="n">
        <v>4</v>
      </c>
      <c r="C1060" s="14" t="s">
        <v>33</v>
      </c>
      <c r="D1060" s="15" t="n">
        <v>8424.55229591837</v>
      </c>
      <c r="E1060" s="16" t="n">
        <f aca="false">INDEX(Parâmetros!$C$33:$C$37,MATCH(B1060,Parâmetros!$A$33:$A$37,0))</f>
        <v>8837.10512820513</v>
      </c>
      <c r="F1060" s="7" t="n">
        <f aca="false">MAX(0,(E1060-D1060)/D1060)</f>
        <v>0.048970297506093</v>
      </c>
      <c r="G1060" s="7" t="n">
        <f aca="false">MIN(K1060*Parâmetros!$B$19,Parâmetros!$B$8)</f>
        <v>0.0393421216165675</v>
      </c>
      <c r="H1060" s="3" t="str">
        <f aca="false">IF(F1060&gt;=Parâmetros!$B$6,"Ação","Acompanhamento")</f>
        <v>Acompanhamento</v>
      </c>
      <c r="I1060" s="17" t="n">
        <v>303.779193205945</v>
      </c>
      <c r="J1060" s="11" t="n">
        <f aca="false">D1060*I1060</f>
        <v>2559203.69957537</v>
      </c>
      <c r="K1060" s="7" t="n">
        <f aca="false">Parâmetros!$B$4+Parâmetros!$B$5*F1060</f>
        <v>0.0322425743765233</v>
      </c>
      <c r="L1060" s="11" t="n">
        <f aca="false">D1060*(1+G1060)</f>
        <v>8755.99205690952</v>
      </c>
      <c r="M1060" s="14" t="n">
        <v>0</v>
      </c>
      <c r="N1060" s="4" t="n">
        <v>0.986666666666667</v>
      </c>
      <c r="O1060" s="3" t="str">
        <f aca="false">IF(AND(B1060=4,M1060=1),IF(N1060&lt;0.8,"Subgrupo 7 dias; fronteira de cluster","Subgrupo 7 dias"),IF(N1060&lt;0.8,"Fronteira de cluster",""))</f>
        <v/>
      </c>
    </row>
    <row r="1061" customFormat="false" ht="15" hidden="false" customHeight="false" outlineLevel="0" collapsed="false">
      <c r="A1061" s="14" t="n">
        <v>1060</v>
      </c>
      <c r="B1061" s="14" t="n">
        <v>0</v>
      </c>
      <c r="C1061" s="14" t="s">
        <v>29</v>
      </c>
      <c r="D1061" s="15" t="n">
        <v>7327.31322207959</v>
      </c>
      <c r="E1061" s="16" t="n">
        <f aca="false">INDEX(Parâmetros!$C$33:$C$37,MATCH(B1061,Parâmetros!$A$33:$A$37,0))</f>
        <v>5476.37033462034</v>
      </c>
      <c r="F1061" s="7" t="n">
        <f aca="false">MAX(0,(E1061-D1061)/D1061)</f>
        <v>0</v>
      </c>
      <c r="G1061" s="7" t="n">
        <f aca="false">MIN(K1061*Parâmetros!$B$19,Parâmetros!$B$8)</f>
        <v>0.0244038339849275</v>
      </c>
      <c r="H1061" s="3" t="str">
        <f aca="false">IF(F1061&gt;=Parâmetros!$B$6,"Ação","Acompanhamento")</f>
        <v>Acompanhamento</v>
      </c>
      <c r="I1061" s="17" t="n">
        <v>301.841825902336</v>
      </c>
      <c r="J1061" s="11" t="n">
        <f aca="false">D1061*I1061</f>
        <v>2211689.60191083</v>
      </c>
      <c r="K1061" s="7" t="n">
        <f aca="false">Parâmetros!$B$4+Parâmetros!$B$5*F1061</f>
        <v>0.02</v>
      </c>
      <c r="L1061" s="11" t="n">
        <f aca="false">D1061*(1+G1061)</f>
        <v>7506.12775750678</v>
      </c>
      <c r="M1061" s="14" t="n">
        <v>0</v>
      </c>
      <c r="N1061" s="4" t="n">
        <v>0.72</v>
      </c>
      <c r="O1061" s="3" t="str">
        <f aca="false">IF(AND(B1061=4,M1061=1),IF(N1061&lt;0.8,"Subgrupo 7 dias; fronteira de cluster","Subgrupo 7 dias"),IF(N1061&lt;0.8,"Fronteira de cluster",""))</f>
        <v>Fronteira de cluster</v>
      </c>
    </row>
    <row r="1062" customFormat="false" ht="15" hidden="false" customHeight="false" outlineLevel="0" collapsed="false">
      <c r="A1062" s="14" t="n">
        <v>1061</v>
      </c>
      <c r="B1062" s="14" t="n">
        <v>1</v>
      </c>
      <c r="C1062" s="14" t="s">
        <v>30</v>
      </c>
      <c r="D1062" s="15" t="n">
        <v>7378.33976833977</v>
      </c>
      <c r="E1062" s="16" t="n">
        <f aca="false">INDEX(Parâmetros!$C$33:$C$37,MATCH(B1062,Parâmetros!$A$33:$A$37,0))</f>
        <v>6959.92435130262</v>
      </c>
      <c r="F1062" s="7" t="n">
        <f aca="false">MAX(0,(E1062-D1062)/D1062)</f>
        <v>0</v>
      </c>
      <c r="G1062" s="7" t="n">
        <f aca="false">MIN(K1062*Parâmetros!$B$19,Parâmetros!$B$8)</f>
        <v>0.0244038339849275</v>
      </c>
      <c r="H1062" s="3" t="str">
        <f aca="false">IF(F1062&gt;=Parâmetros!$B$6,"Ação","Acompanhamento")</f>
        <v>Acompanhamento</v>
      </c>
      <c r="I1062" s="17" t="n">
        <v>301.066878980892</v>
      </c>
      <c r="J1062" s="11" t="n">
        <f aca="false">D1062*I1062</f>
        <v>2221373.72611465</v>
      </c>
      <c r="K1062" s="7" t="n">
        <f aca="false">Parâmetros!$B$4+Parâmetros!$B$5*F1062</f>
        <v>0.02</v>
      </c>
      <c r="L1062" s="11" t="n">
        <f aca="false">D1062*(1+G1062)</f>
        <v>7558.39954713072</v>
      </c>
      <c r="M1062" s="14" t="n">
        <v>0</v>
      </c>
      <c r="N1062" s="4" t="n">
        <v>1</v>
      </c>
      <c r="O1062" s="3" t="str">
        <f aca="false">IF(AND(B1062=4,M1062=1),IF(N1062&lt;0.8,"Subgrupo 7 dias; fronteira de cluster","Subgrupo 7 dias"),IF(N1062&lt;0.8,"Fronteira de cluster",""))</f>
        <v/>
      </c>
    </row>
    <row r="1063" customFormat="false" ht="15" hidden="false" customHeight="false" outlineLevel="0" collapsed="false">
      <c r="A1063" s="14" t="n">
        <v>1062</v>
      </c>
      <c r="B1063" s="14" t="n">
        <v>0</v>
      </c>
      <c r="C1063" s="14" t="s">
        <v>29</v>
      </c>
      <c r="D1063" s="15" t="n">
        <v>6405.98074454429</v>
      </c>
      <c r="E1063" s="16" t="n">
        <f aca="false">INDEX(Parâmetros!$C$33:$C$37,MATCH(B1063,Parâmetros!$A$33:$A$37,0))</f>
        <v>5476.37033462034</v>
      </c>
      <c r="F1063" s="7" t="n">
        <f aca="false">MAX(0,(E1063-D1063)/D1063)</f>
        <v>0</v>
      </c>
      <c r="G1063" s="7" t="n">
        <f aca="false">MIN(K1063*Parâmetros!$B$19,Parâmetros!$B$8)</f>
        <v>0.0244038339849275</v>
      </c>
      <c r="H1063" s="3" t="str">
        <f aca="false">IF(F1063&gt;=Parâmetros!$B$6,"Ação","Acompanhamento")</f>
        <v>Acompanhamento</v>
      </c>
      <c r="I1063" s="17" t="n">
        <v>301.841825902336</v>
      </c>
      <c r="J1063" s="11" t="n">
        <f aca="false">D1063*I1063</f>
        <v>1933592.92462845</v>
      </c>
      <c r="K1063" s="7" t="n">
        <f aca="false">Parâmetros!$B$4+Parâmetros!$B$5*F1063</f>
        <v>0.02</v>
      </c>
      <c r="L1063" s="11" t="n">
        <f aca="false">D1063*(1+G1063)</f>
        <v>6562.31123514479</v>
      </c>
      <c r="M1063" s="14" t="n">
        <v>0</v>
      </c>
      <c r="N1063" s="4" t="n">
        <v>0.987341772151899</v>
      </c>
      <c r="O1063" s="3" t="str">
        <f aca="false">IF(AND(B1063=4,M1063=1),IF(N1063&lt;0.8,"Subgrupo 7 dias; fronteira de cluster","Subgrupo 7 dias"),IF(N1063&lt;0.8,"Fronteira de cluster",""))</f>
        <v/>
      </c>
    </row>
    <row r="1064" customFormat="false" ht="15" hidden="false" customHeight="false" outlineLevel="0" collapsed="false">
      <c r="A1064" s="14" t="n">
        <v>1063</v>
      </c>
      <c r="B1064" s="14" t="n">
        <v>0</v>
      </c>
      <c r="C1064" s="14" t="s">
        <v>29</v>
      </c>
      <c r="D1064" s="15" t="n">
        <v>4271.28698979592</v>
      </c>
      <c r="E1064" s="16" t="n">
        <f aca="false">INDEX(Parâmetros!$C$33:$C$37,MATCH(B1064,Parâmetros!$A$33:$A$37,0))</f>
        <v>5476.37033462034</v>
      </c>
      <c r="F1064" s="7" t="n">
        <f aca="false">MAX(0,(E1064-D1064)/D1064)</f>
        <v>0.282135887310629</v>
      </c>
      <c r="G1064" s="7" t="n">
        <f aca="false">MIN(K1064*Parâmetros!$B$19,Parâmetros!$B$8)</f>
        <v>0.110468800923912</v>
      </c>
      <c r="H1064" s="3" t="str">
        <f aca="false">IF(F1064&gt;=Parâmetros!$B$6,"Ação","Acompanhamento")</f>
        <v>Ação</v>
      </c>
      <c r="I1064" s="17" t="n">
        <v>303.779193205945</v>
      </c>
      <c r="J1064" s="11" t="n">
        <f aca="false">D1064*I1064</f>
        <v>1297528.11571125</v>
      </c>
      <c r="K1064" s="7" t="n">
        <f aca="false">Parâmetros!$B$4+Parâmetros!$B$5*F1064</f>
        <v>0.0905339718276572</v>
      </c>
      <c r="L1064" s="11" t="n">
        <f aca="false">D1064*(1+G1064)</f>
        <v>4743.13094196058</v>
      </c>
      <c r="M1064" s="14" t="n">
        <v>0</v>
      </c>
      <c r="N1064" s="4" t="n">
        <v>0.943181818181818</v>
      </c>
      <c r="O1064" s="3" t="str">
        <f aca="false">IF(AND(B1064=4,M1064=1),IF(N1064&lt;0.8,"Subgrupo 7 dias; fronteira de cluster","Subgrupo 7 dias"),IF(N1064&lt;0.8,"Fronteira de cluster",""))</f>
        <v/>
      </c>
    </row>
    <row r="1065" customFormat="false" ht="15" hidden="false" customHeight="false" outlineLevel="0" collapsed="false">
      <c r="A1065" s="14" t="n">
        <v>1064</v>
      </c>
      <c r="B1065" s="14" t="n">
        <v>4</v>
      </c>
      <c r="C1065" s="14" t="s">
        <v>33</v>
      </c>
      <c r="D1065" s="15" t="n">
        <v>9455.57894736842</v>
      </c>
      <c r="E1065" s="16" t="n">
        <f aca="false">INDEX(Parâmetros!$C$33:$C$37,MATCH(B1065,Parâmetros!$A$33:$A$37,0))</f>
        <v>8837.10512820513</v>
      </c>
      <c r="F1065" s="7" t="n">
        <f aca="false">MAX(0,(E1065-D1065)/D1065)</f>
        <v>0</v>
      </c>
      <c r="G1065" s="7" t="n">
        <f aca="false">MIN(K1065*Parâmetros!$B$19,Parâmetros!$B$8)</f>
        <v>0.0244038339849275</v>
      </c>
      <c r="H1065" s="3" t="str">
        <f aca="false">IF(F1065&gt;=Parâmetros!$B$6,"Ação","Acompanhamento")</f>
        <v>Acompanhamento</v>
      </c>
      <c r="I1065" s="17" t="n">
        <v>301.841825902336</v>
      </c>
      <c r="J1065" s="11" t="n">
        <f aca="false">D1065*I1065</f>
        <v>2854089.21443737</v>
      </c>
      <c r="K1065" s="7" t="n">
        <f aca="false">Parâmetros!$B$4+Parâmetros!$B$5*F1065</f>
        <v>0.02</v>
      </c>
      <c r="L1065" s="11" t="n">
        <f aca="false">D1065*(1+G1065)</f>
        <v>9686.33132623138</v>
      </c>
      <c r="M1065" s="14" t="n">
        <v>0</v>
      </c>
      <c r="N1065" s="4" t="n">
        <v>1</v>
      </c>
      <c r="O1065" s="3" t="str">
        <f aca="false">IF(AND(B1065=4,M1065=1),IF(N1065&lt;0.8,"Subgrupo 7 dias; fronteira de cluster","Subgrupo 7 dias"),IF(N1065&lt;0.8,"Fronteira de cluster",""))</f>
        <v/>
      </c>
    </row>
    <row r="1066" customFormat="false" ht="15" hidden="false" customHeight="false" outlineLevel="0" collapsed="false">
      <c r="A1066" s="14" t="n">
        <v>1065</v>
      </c>
      <c r="B1066" s="14" t="n">
        <v>0</v>
      </c>
      <c r="C1066" s="14" t="s">
        <v>29</v>
      </c>
      <c r="D1066" s="15" t="n">
        <v>4198.16237942122</v>
      </c>
      <c r="E1066" s="16" t="n">
        <f aca="false">INDEX(Parâmetros!$C$33:$C$37,MATCH(B1066,Parâmetros!$A$33:$A$37,0))</f>
        <v>5476.37033462034</v>
      </c>
      <c r="F1066" s="7" t="n">
        <f aca="false">MAX(0,(E1066-D1066)/D1066)</f>
        <v>0.304468441112402</v>
      </c>
      <c r="G1066" s="7" t="n">
        <f aca="false">MIN(K1066*Parâmetros!$B$19,Parâmetros!$B$8)</f>
        <v>0.117281300116886</v>
      </c>
      <c r="H1066" s="3" t="str">
        <f aca="false">IF(F1066&gt;=Parâmetros!$B$6,"Ação","Acompanhamento")</f>
        <v>Ação</v>
      </c>
      <c r="I1066" s="17" t="n">
        <v>299.511873350924</v>
      </c>
      <c r="J1066" s="11" t="n">
        <f aca="false">D1066*I1066</f>
        <v>1257399.47889182</v>
      </c>
      <c r="K1066" s="7" t="n">
        <f aca="false">Parâmetros!$B$4+Parâmetros!$B$5*F1066</f>
        <v>0.0961171102781006</v>
      </c>
      <c r="L1066" s="11" t="n">
        <f aca="false">D1066*(1+G1066)</f>
        <v>4690.52832138155</v>
      </c>
      <c r="M1066" s="14" t="n">
        <v>0</v>
      </c>
      <c r="N1066" s="4" t="n">
        <v>1</v>
      </c>
      <c r="O1066" s="3" t="str">
        <f aca="false">IF(AND(B1066=4,M1066=1),IF(N1066&lt;0.8,"Subgrupo 7 dias; fronteira de cluster","Subgrupo 7 dias"),IF(N1066&lt;0.8,"Fronteira de cluster",""))</f>
        <v/>
      </c>
    </row>
    <row r="1067" customFormat="false" ht="15" hidden="false" customHeight="false" outlineLevel="0" collapsed="false">
      <c r="A1067" s="14" t="n">
        <v>1066</v>
      </c>
      <c r="B1067" s="14" t="n">
        <v>4</v>
      </c>
      <c r="C1067" s="14" t="s">
        <v>33</v>
      </c>
      <c r="D1067" s="15" t="n">
        <v>11073.919127086</v>
      </c>
      <c r="E1067" s="16" t="n">
        <f aca="false">INDEX(Parâmetros!$C$33:$C$37,MATCH(B1067,Parâmetros!$A$33:$A$37,0))</f>
        <v>8837.10512820513</v>
      </c>
      <c r="F1067" s="7" t="n">
        <f aca="false">MAX(0,(E1067-D1067)/D1067)</f>
        <v>0</v>
      </c>
      <c r="G1067" s="7" t="n">
        <f aca="false">MIN(K1067*Parâmetros!$B$19,Parâmetros!$B$8)</f>
        <v>0.0244038339849275</v>
      </c>
      <c r="H1067" s="3" t="str">
        <f aca="false">IF(F1067&gt;=Parâmetros!$B$6,"Ação","Acompanhamento")</f>
        <v>Acompanhamento</v>
      </c>
      <c r="I1067" s="17" t="n">
        <v>301.841825902336</v>
      </c>
      <c r="J1067" s="11" t="n">
        <f aca="false">D1067*I1067</f>
        <v>3342571.96921444</v>
      </c>
      <c r="K1067" s="7" t="n">
        <f aca="false">Parâmetros!$B$4+Parâmetros!$B$5*F1067</f>
        <v>0.02</v>
      </c>
      <c r="L1067" s="11" t="n">
        <f aca="false">D1067*(1+G1067)</f>
        <v>11344.1652110259</v>
      </c>
      <c r="M1067" s="14" t="n">
        <v>0</v>
      </c>
      <c r="N1067" s="4" t="n">
        <v>1</v>
      </c>
      <c r="O1067" s="3" t="str">
        <f aca="false">IF(AND(B1067=4,M1067=1),IF(N1067&lt;0.8,"Subgrupo 7 dias; fronteira de cluster","Subgrupo 7 dias"),IF(N1067&lt;0.8,"Fronteira de cluster",""))</f>
        <v/>
      </c>
    </row>
    <row r="1068" customFormat="false" ht="15" hidden="false" customHeight="false" outlineLevel="0" collapsed="false">
      <c r="A1068" s="14" t="n">
        <v>1067</v>
      </c>
      <c r="B1068" s="14" t="n">
        <v>1</v>
      </c>
      <c r="C1068" s="14" t="s">
        <v>30</v>
      </c>
      <c r="D1068" s="15" t="n">
        <v>5756.18649517685</v>
      </c>
      <c r="E1068" s="16" t="n">
        <f aca="false">INDEX(Parâmetros!$C$33:$C$37,MATCH(B1068,Parâmetros!$A$33:$A$37,0))</f>
        <v>6959.92435130262</v>
      </c>
      <c r="F1068" s="7" t="n">
        <f aca="false">MAX(0,(E1068-D1068)/D1068)</f>
        <v>0.209120718575466</v>
      </c>
      <c r="G1068" s="7" t="n">
        <f aca="false">MIN(K1068*Parâmetros!$B$19,Parâmetros!$B$8)</f>
        <v>0.0881956752214824</v>
      </c>
      <c r="H1068" s="3" t="str">
        <f aca="false">IF(F1068&gt;=Parâmetros!$B$6,"Ação","Acompanhamento")</f>
        <v>Ação</v>
      </c>
      <c r="I1068" s="17" t="n">
        <v>299.511873350924</v>
      </c>
      <c r="J1068" s="11" t="n">
        <f aca="false">D1068*I1068</f>
        <v>1724046.2005277</v>
      </c>
      <c r="K1068" s="7" t="n">
        <f aca="false">Parâmetros!$B$4+Parâmetros!$B$5*F1068</f>
        <v>0.0722801796438664</v>
      </c>
      <c r="L1068" s="11" t="n">
        <f aca="false">D1068*(1+G1068)</f>
        <v>6263.85724981975</v>
      </c>
      <c r="M1068" s="14" t="n">
        <v>0</v>
      </c>
      <c r="N1068" s="4" t="n">
        <v>1</v>
      </c>
      <c r="O1068" s="3" t="str">
        <f aca="false">IF(AND(B1068=4,M1068=1),IF(N1068&lt;0.8,"Subgrupo 7 dias; fronteira de cluster","Subgrupo 7 dias"),IF(N1068&lt;0.8,"Fronteira de cluster",""))</f>
        <v/>
      </c>
    </row>
    <row r="1069" customFormat="false" ht="15" hidden="false" customHeight="false" outlineLevel="0" collapsed="false">
      <c r="A1069" s="14" t="n">
        <v>1068</v>
      </c>
      <c r="B1069" s="14" t="n">
        <v>1</v>
      </c>
      <c r="C1069" s="14" t="s">
        <v>30</v>
      </c>
      <c r="D1069" s="15" t="n">
        <v>4441.53667953668</v>
      </c>
      <c r="E1069" s="16" t="n">
        <f aca="false">INDEX(Parâmetros!$C$33:$C$37,MATCH(B1069,Parâmetros!$A$33:$A$37,0))</f>
        <v>6959.92435130262</v>
      </c>
      <c r="F1069" s="7" t="n">
        <f aca="false">MAX(0,(E1069-D1069)/D1069)</f>
        <v>0.567008189613476</v>
      </c>
      <c r="G1069" s="7" t="n">
        <f aca="false">MIN(K1069*Parâmetros!$B$19,Parâmetros!$B$8)</f>
        <v>0.197368505577697</v>
      </c>
      <c r="H1069" s="3" t="str">
        <f aca="false">IF(F1069&gt;=Parâmetros!$B$6,"Ação","Acompanhamento")</f>
        <v>Ação</v>
      </c>
      <c r="I1069" s="17" t="n">
        <v>301.066878980892</v>
      </c>
      <c r="J1069" s="11" t="n">
        <f aca="false">D1069*I1069</f>
        <v>1337199.58598726</v>
      </c>
      <c r="K1069" s="7" t="n">
        <f aca="false">Parâmetros!$B$4+Parâmetros!$B$5*F1069</f>
        <v>0.161752047403369</v>
      </c>
      <c r="L1069" s="11" t="n">
        <f aca="false">D1069*(1+G1069)</f>
        <v>5318.15613644536</v>
      </c>
      <c r="M1069" s="14" t="n">
        <v>0</v>
      </c>
      <c r="N1069" s="4" t="n">
        <v>1</v>
      </c>
      <c r="O1069" s="3" t="str">
        <f aca="false">IF(AND(B1069=4,M1069=1),IF(N1069&lt;0.8,"Subgrupo 7 dias; fronteira de cluster","Subgrupo 7 dias"),IF(N1069&lt;0.8,"Fronteira de cluster",""))</f>
        <v/>
      </c>
    </row>
    <row r="1070" customFormat="false" ht="15" hidden="false" customHeight="false" outlineLevel="0" collapsed="false">
      <c r="A1070" s="14" t="n">
        <v>1069</v>
      </c>
      <c r="B1070" s="14" t="n">
        <v>3</v>
      </c>
      <c r="C1070" s="14" t="s">
        <v>32</v>
      </c>
      <c r="D1070" s="15" t="n">
        <v>6305.26982097187</v>
      </c>
      <c r="E1070" s="16" t="n">
        <f aca="false">INDEX(Parâmetros!$C$33:$C$37,MATCH(B1070,Parâmetros!$A$33:$A$37,0))</f>
        <v>5909.24487179487</v>
      </c>
      <c r="F1070" s="7" t="n">
        <f aca="false">MAX(0,(E1070-D1070)/D1070)</f>
        <v>0</v>
      </c>
      <c r="G1070" s="7" t="n">
        <f aca="false">MIN(K1070*Parâmetros!$B$19,Parâmetros!$B$8)</f>
        <v>0.0244038339849275</v>
      </c>
      <c r="H1070" s="3" t="str">
        <f aca="false">IF(F1070&gt;=Parâmetros!$B$6,"Ação","Acompanhamento")</f>
        <v>Acompanhamento</v>
      </c>
      <c r="I1070" s="17" t="n">
        <v>303.004246284501</v>
      </c>
      <c r="J1070" s="11" t="n">
        <f aca="false">D1070*I1070</f>
        <v>1910523.52972399</v>
      </c>
      <c r="K1070" s="7" t="n">
        <f aca="false">Parâmetros!$B$4+Parâmetros!$B$5*F1070</f>
        <v>0.02</v>
      </c>
      <c r="L1070" s="11" t="n">
        <f aca="false">D1070*(1+G1070)</f>
        <v>6459.14257891304</v>
      </c>
      <c r="M1070" s="14" t="n">
        <v>0</v>
      </c>
      <c r="N1070" s="4" t="n">
        <v>1</v>
      </c>
      <c r="O1070" s="3" t="str">
        <f aca="false">IF(AND(B1070=4,M1070=1),IF(N1070&lt;0.8,"Subgrupo 7 dias; fronteira de cluster","Subgrupo 7 dias"),IF(N1070&lt;0.8,"Fronteira de cluster",""))</f>
        <v/>
      </c>
    </row>
    <row r="1071" customFormat="false" ht="15" hidden="false" customHeight="false" outlineLevel="0" collapsed="false">
      <c r="A1071" s="14" t="n">
        <v>1070</v>
      </c>
      <c r="B1071" s="14" t="n">
        <v>0</v>
      </c>
      <c r="C1071" s="14" t="s">
        <v>29</v>
      </c>
      <c r="D1071" s="15" t="n">
        <v>7034.71173469388</v>
      </c>
      <c r="E1071" s="16" t="n">
        <f aca="false">INDEX(Parâmetros!$C$33:$C$37,MATCH(B1071,Parâmetros!$A$33:$A$37,0))</f>
        <v>5476.37033462034</v>
      </c>
      <c r="F1071" s="7" t="n">
        <f aca="false">MAX(0,(E1071-D1071)/D1071)</f>
        <v>0</v>
      </c>
      <c r="G1071" s="7" t="n">
        <f aca="false">MIN(K1071*Parâmetros!$B$19,Parâmetros!$B$8)</f>
        <v>0.0244038339849275</v>
      </c>
      <c r="H1071" s="3" t="str">
        <f aca="false">IF(F1071&gt;=Parâmetros!$B$6,"Ação","Acompanhamento")</f>
        <v>Acompanhamento</v>
      </c>
      <c r="I1071" s="17" t="n">
        <v>303.779193205945</v>
      </c>
      <c r="J1071" s="11" t="n">
        <f aca="false">D1071*I1071</f>
        <v>2136999.0552017</v>
      </c>
      <c r="K1071" s="7" t="n">
        <f aca="false">Parâmetros!$B$4+Parâmetros!$B$5*F1071</f>
        <v>0.02</v>
      </c>
      <c r="L1071" s="11" t="n">
        <f aca="false">D1071*(1+G1071)</f>
        <v>7206.38567199917</v>
      </c>
      <c r="M1071" s="14" t="n">
        <v>0</v>
      </c>
      <c r="N1071" s="4" t="n">
        <v>0.780487804878049</v>
      </c>
      <c r="O1071" s="3" t="str">
        <f aca="false">IF(AND(B1071=4,M1071=1),IF(N1071&lt;0.8,"Subgrupo 7 dias; fronteira de cluster","Subgrupo 7 dias"),IF(N1071&lt;0.8,"Fronteira de cluster",""))</f>
        <v>Fronteira de cluster</v>
      </c>
    </row>
    <row r="1072" customFormat="false" ht="15" hidden="false" customHeight="false" outlineLevel="0" collapsed="false">
      <c r="A1072" s="14" t="n">
        <v>1071</v>
      </c>
      <c r="B1072" s="14" t="n">
        <v>0</v>
      </c>
      <c r="C1072" s="14" t="s">
        <v>29</v>
      </c>
      <c r="D1072" s="15" t="n">
        <v>6027.22576530612</v>
      </c>
      <c r="E1072" s="16" t="n">
        <f aca="false">INDEX(Parâmetros!$C$33:$C$37,MATCH(B1072,Parâmetros!$A$33:$A$37,0))</f>
        <v>5476.37033462034</v>
      </c>
      <c r="F1072" s="7" t="n">
        <f aca="false">MAX(0,(E1072-D1072)/D1072)</f>
        <v>0</v>
      </c>
      <c r="G1072" s="7" t="n">
        <f aca="false">MIN(K1072*Parâmetros!$B$19,Parâmetros!$B$8)</f>
        <v>0.0244038339849275</v>
      </c>
      <c r="H1072" s="3" t="str">
        <f aca="false">IF(F1072&gt;=Parâmetros!$B$6,"Ação","Acompanhamento")</f>
        <v>Acompanhamento</v>
      </c>
      <c r="I1072" s="17" t="n">
        <v>303.779193205945</v>
      </c>
      <c r="J1072" s="11" t="n">
        <f aca="false">D1072*I1072</f>
        <v>1830945.78025478</v>
      </c>
      <c r="K1072" s="7" t="n">
        <f aca="false">Parâmetros!$B$4+Parâmetros!$B$5*F1072</f>
        <v>0.02</v>
      </c>
      <c r="L1072" s="11" t="n">
        <f aca="false">D1072*(1+G1072)</f>
        <v>6174.31318227233</v>
      </c>
      <c r="M1072" s="14" t="n">
        <v>0</v>
      </c>
      <c r="N1072" s="4" t="n">
        <v>0.75609756097561</v>
      </c>
      <c r="O1072" s="3" t="str">
        <f aca="false">IF(AND(B1072=4,M1072=1),IF(N1072&lt;0.8,"Subgrupo 7 dias; fronteira de cluster","Subgrupo 7 dias"),IF(N1072&lt;0.8,"Fronteira de cluster",""))</f>
        <v>Fronteira de cluster</v>
      </c>
    </row>
    <row r="1073" customFormat="false" ht="15" hidden="false" customHeight="false" outlineLevel="0" collapsed="false">
      <c r="A1073" s="14" t="n">
        <v>1072</v>
      </c>
      <c r="B1073" s="14" t="n">
        <v>1</v>
      </c>
      <c r="C1073" s="14" t="s">
        <v>30</v>
      </c>
      <c r="D1073" s="15" t="n">
        <v>6821.91142490372</v>
      </c>
      <c r="E1073" s="16" t="n">
        <f aca="false">INDEX(Parâmetros!$C$33:$C$37,MATCH(B1073,Parâmetros!$A$33:$A$37,0))</f>
        <v>6959.92435130262</v>
      </c>
      <c r="F1073" s="7" t="n">
        <f aca="false">MAX(0,(E1073-D1073)/D1073)</f>
        <v>0.0202308294263504</v>
      </c>
      <c r="G1073" s="7" t="n">
        <f aca="false">MIN(K1073*Parâmetros!$B$19,Parâmetros!$B$8)</f>
        <v>0.030575206518653</v>
      </c>
      <c r="H1073" s="3" t="str">
        <f aca="false">IF(F1073&gt;=Parâmetros!$B$6,"Ação","Acompanhamento")</f>
        <v>Acompanhamento</v>
      </c>
      <c r="I1073" s="17" t="n">
        <v>301.841825902336</v>
      </c>
      <c r="J1073" s="11" t="n">
        <f aca="false">D1073*I1073</f>
        <v>2059138.20063694</v>
      </c>
      <c r="K1073" s="7" t="n">
        <f aca="false">Parâmetros!$B$4+Parâmetros!$B$5*F1073</f>
        <v>0.0250577073565876</v>
      </c>
      <c r="L1073" s="11" t="n">
        <f aca="false">D1073*(1+G1073)</f>
        <v>7030.49277557211</v>
      </c>
      <c r="M1073" s="14" t="n">
        <v>0</v>
      </c>
      <c r="N1073" s="4" t="n">
        <v>0.9875</v>
      </c>
      <c r="O1073" s="3" t="str">
        <f aca="false">IF(AND(B1073=4,M1073=1),IF(N1073&lt;0.8,"Subgrupo 7 dias; fronteira de cluster","Subgrupo 7 dias"),IF(N1073&lt;0.8,"Fronteira de cluster",""))</f>
        <v/>
      </c>
    </row>
    <row r="1074" customFormat="false" ht="15" hidden="false" customHeight="false" outlineLevel="0" collapsed="false">
      <c r="A1074" s="14" t="n">
        <v>1073</v>
      </c>
      <c r="B1074" s="14" t="n">
        <v>4</v>
      </c>
      <c r="C1074" s="14" t="s">
        <v>33</v>
      </c>
      <c r="D1074" s="15" t="n">
        <v>7276.79204107831</v>
      </c>
      <c r="E1074" s="16" t="n">
        <f aca="false">INDEX(Parâmetros!$C$33:$C$37,MATCH(B1074,Parâmetros!$A$33:$A$37,0))</f>
        <v>8837.10512820513</v>
      </c>
      <c r="F1074" s="7" t="n">
        <f aca="false">MAX(0,(E1074-D1074)/D1074)</f>
        <v>0.214423207138349</v>
      </c>
      <c r="G1074" s="7" t="n">
        <f aca="false">MIN(K1074*Parâmetros!$B$19,Parâmetros!$B$8)</f>
        <v>0.0898131883539272</v>
      </c>
      <c r="H1074" s="3" t="str">
        <f aca="false">IF(F1074&gt;=Parâmetros!$B$6,"Ação","Acompanhamento")</f>
        <v>Ação</v>
      </c>
      <c r="I1074" s="17" t="n">
        <v>301.841825902336</v>
      </c>
      <c r="J1074" s="11" t="n">
        <f aca="false">D1074*I1074</f>
        <v>2196440.19639066</v>
      </c>
      <c r="K1074" s="7" t="n">
        <f aca="false">Parâmetros!$B$4+Parâmetros!$B$5*F1074</f>
        <v>0.0736058017845873</v>
      </c>
      <c r="L1074" s="11" t="n">
        <f aca="false">D1074*(1+G1074)</f>
        <v>7930.34393527603</v>
      </c>
      <c r="M1074" s="14" t="n">
        <v>0</v>
      </c>
      <c r="N1074" s="4" t="n">
        <v>0.670886075949367</v>
      </c>
      <c r="O1074" s="3" t="str">
        <f aca="false">IF(AND(B1074=4,M1074=1),IF(N1074&lt;0.8,"Subgrupo 7 dias; fronteira de cluster","Subgrupo 7 dias"),IF(N1074&lt;0.8,"Fronteira de cluster",""))</f>
        <v>Fronteira de cluster</v>
      </c>
    </row>
    <row r="1075" customFormat="false" ht="15" hidden="false" customHeight="false" outlineLevel="0" collapsed="false">
      <c r="A1075" s="14" t="n">
        <v>1074</v>
      </c>
      <c r="B1075" s="14" t="n">
        <v>0</v>
      </c>
      <c r="C1075" s="14" t="s">
        <v>29</v>
      </c>
      <c r="D1075" s="15" t="n">
        <v>5146.24358974359</v>
      </c>
      <c r="E1075" s="16" t="n">
        <f aca="false">INDEX(Parâmetros!$C$33:$C$37,MATCH(B1075,Parâmetros!$A$33:$A$37,0))</f>
        <v>5476.37033462034</v>
      </c>
      <c r="F1075" s="7" t="n">
        <f aca="false">MAX(0,(E1075-D1075)/D1075)</f>
        <v>0.0641490708940953</v>
      </c>
      <c r="G1075" s="7" t="n">
        <f aca="false">MIN(K1075*Parâmetros!$B$19,Parâmetros!$B$8)</f>
        <v>0.043972374939763</v>
      </c>
      <c r="H1075" s="3" t="str">
        <f aca="false">IF(F1075&gt;=Parâmetros!$B$6,"Ação","Acompanhamento")</f>
        <v>Acompanhamento</v>
      </c>
      <c r="I1075" s="17" t="n">
        <v>302.229299363057</v>
      </c>
      <c r="J1075" s="11" t="n">
        <f aca="false">D1075*I1075</f>
        <v>1555345.59447983</v>
      </c>
      <c r="K1075" s="7" t="n">
        <f aca="false">Parâmetros!$B$4+Parâmetros!$B$5*F1075</f>
        <v>0.0360372677235238</v>
      </c>
      <c r="L1075" s="11" t="n">
        <f aca="false">D1075*(1+G1075)</f>
        <v>5372.53614240315</v>
      </c>
      <c r="M1075" s="14" t="n">
        <v>0</v>
      </c>
      <c r="N1075" s="4" t="n">
        <v>0.973684210526316</v>
      </c>
      <c r="O1075" s="3" t="str">
        <f aca="false">IF(AND(B1075=4,M1075=1),IF(N1075&lt;0.8,"Subgrupo 7 dias; fronteira de cluster","Subgrupo 7 dias"),IF(N1075&lt;0.8,"Fronteira de cluster",""))</f>
        <v/>
      </c>
    </row>
    <row r="1076" customFormat="false" ht="15" hidden="false" customHeight="false" outlineLevel="0" collapsed="false">
      <c r="A1076" s="14" t="n">
        <v>1075</v>
      </c>
      <c r="B1076" s="14" t="n">
        <v>4</v>
      </c>
      <c r="C1076" s="14" t="s">
        <v>33</v>
      </c>
      <c r="D1076" s="15" t="n">
        <v>11485.3890306122</v>
      </c>
      <c r="E1076" s="16" t="n">
        <f aca="false">INDEX(Parâmetros!$C$33:$C$37,MATCH(B1076,Parâmetros!$A$33:$A$37,0))</f>
        <v>8837.10512820513</v>
      </c>
      <c r="F1076" s="7" t="n">
        <f aca="false">MAX(0,(E1076-D1076)/D1076)</f>
        <v>0</v>
      </c>
      <c r="G1076" s="7" t="n">
        <f aca="false">MIN(K1076*Parâmetros!$B$19,Parâmetros!$B$8)</f>
        <v>0.0244038339849275</v>
      </c>
      <c r="H1076" s="3" t="str">
        <f aca="false">IF(F1076&gt;=Parâmetros!$B$6,"Ação","Acompanhamento")</f>
        <v>Acompanhamento</v>
      </c>
      <c r="I1076" s="17" t="n">
        <v>303.779193205945</v>
      </c>
      <c r="J1076" s="11" t="n">
        <f aca="false">D1076*I1076</f>
        <v>3489022.21337579</v>
      </c>
      <c r="K1076" s="7" t="n">
        <f aca="false">Parâmetros!$B$4+Parâmetros!$B$5*F1076</f>
        <v>0.02</v>
      </c>
      <c r="L1076" s="11" t="n">
        <f aca="false">D1076*(1+G1076)</f>
        <v>11765.6765577676</v>
      </c>
      <c r="M1076" s="14" t="n">
        <v>0</v>
      </c>
      <c r="N1076" s="4" t="n">
        <v>1</v>
      </c>
      <c r="O1076" s="3" t="str">
        <f aca="false">IF(AND(B1076=4,M1076=1),IF(N1076&lt;0.8,"Subgrupo 7 dias; fronteira de cluster","Subgrupo 7 dias"),IF(N1076&lt;0.8,"Fronteira de cluster",""))</f>
        <v/>
      </c>
    </row>
    <row r="1077" customFormat="false" ht="15" hidden="false" customHeight="false" outlineLevel="0" collapsed="false">
      <c r="A1077" s="14" t="n">
        <v>1076</v>
      </c>
      <c r="B1077" s="14" t="n">
        <v>0</v>
      </c>
      <c r="C1077" s="14" t="s">
        <v>29</v>
      </c>
      <c r="D1077" s="15" t="n">
        <v>3620.02567394095</v>
      </c>
      <c r="E1077" s="16" t="n">
        <f aca="false">INDEX(Parâmetros!$C$33:$C$37,MATCH(B1077,Parâmetros!$A$33:$A$37,0))</f>
        <v>5476.37033462034</v>
      </c>
      <c r="F1077" s="7" t="n">
        <f aca="false">MAX(0,(E1077-D1077)/D1077)</f>
        <v>0.512798755556468</v>
      </c>
      <c r="G1077" s="7" t="n">
        <f aca="false">MIN(K1077*Parâmetros!$B$19,Parâmetros!$B$8)</f>
        <v>0.180832030213395</v>
      </c>
      <c r="H1077" s="3" t="str">
        <f aca="false">IF(F1077&gt;=Parâmetros!$B$6,"Ação","Acompanhamento")</f>
        <v>Ação</v>
      </c>
      <c r="I1077" s="17" t="n">
        <v>301.841825902336</v>
      </c>
      <c r="J1077" s="11" t="n">
        <f aca="false">D1077*I1077</f>
        <v>1092675.15923567</v>
      </c>
      <c r="K1077" s="7" t="n">
        <f aca="false">Parâmetros!$B$4+Parâmetros!$B$5*F1077</f>
        <v>0.148199688889117</v>
      </c>
      <c r="L1077" s="11" t="n">
        <f aca="false">D1077*(1+G1077)</f>
        <v>4274.64226598431</v>
      </c>
      <c r="M1077" s="14" t="n">
        <v>0</v>
      </c>
      <c r="N1077" s="4" t="n">
        <v>1</v>
      </c>
      <c r="O1077" s="3" t="str">
        <f aca="false">IF(AND(B1077=4,M1077=1),IF(N1077&lt;0.8,"Subgrupo 7 dias; fronteira de cluster","Subgrupo 7 dias"),IF(N1077&lt;0.8,"Fronteira de cluster",""))</f>
        <v/>
      </c>
    </row>
    <row r="1078" customFormat="false" ht="15" hidden="false" customHeight="false" outlineLevel="0" collapsed="false">
      <c r="A1078" s="14" t="n">
        <v>1077</v>
      </c>
      <c r="B1078" s="14" t="n">
        <v>0</v>
      </c>
      <c r="C1078" s="14" t="s">
        <v>29</v>
      </c>
      <c r="D1078" s="15" t="n">
        <v>4489.7676508344</v>
      </c>
      <c r="E1078" s="16" t="n">
        <f aca="false">INDEX(Parâmetros!$C$33:$C$37,MATCH(B1078,Parâmetros!$A$33:$A$37,0))</f>
        <v>5476.37033462034</v>
      </c>
      <c r="F1078" s="7" t="n">
        <f aca="false">MAX(0,(E1078-D1078)/D1078)</f>
        <v>0.21974470852686</v>
      </c>
      <c r="G1078" s="7" t="n">
        <f aca="false">MIN(K1078*Parâmetros!$B$19,Parâmetros!$B$8)</f>
        <v>0.0914365013093745</v>
      </c>
      <c r="H1078" s="3" t="str">
        <f aca="false">IF(F1078&gt;=Parâmetros!$B$6,"Ação","Acompanhamento")</f>
        <v>Ação</v>
      </c>
      <c r="I1078" s="17" t="n">
        <v>301.841825902336</v>
      </c>
      <c r="J1078" s="11" t="n">
        <f aca="false">D1078*I1078</f>
        <v>1355199.6656051</v>
      </c>
      <c r="K1078" s="7" t="n">
        <f aca="false">Parâmetros!$B$4+Parâmetros!$B$5*F1078</f>
        <v>0.0749361771317151</v>
      </c>
      <c r="L1078" s="11" t="n">
        <f aca="false">D1078*(1+G1078)</f>
        <v>4900.29629651871</v>
      </c>
      <c r="M1078" s="14" t="n">
        <v>0</v>
      </c>
      <c r="N1078" s="4" t="n">
        <v>0.988505747126437</v>
      </c>
      <c r="O1078" s="3" t="str">
        <f aca="false">IF(AND(B1078=4,M1078=1),IF(N1078&lt;0.8,"Subgrupo 7 dias; fronteira de cluster","Subgrupo 7 dias"),IF(N1078&lt;0.8,"Fronteira de cluster",""))</f>
        <v/>
      </c>
    </row>
    <row r="1079" customFormat="false" ht="15" hidden="false" customHeight="false" outlineLevel="0" collapsed="false">
      <c r="A1079" s="14" t="n">
        <v>1078</v>
      </c>
      <c r="B1079" s="14" t="n">
        <v>3</v>
      </c>
      <c r="C1079" s="14" t="s">
        <v>32</v>
      </c>
      <c r="D1079" s="15" t="n">
        <v>6808.07979407979</v>
      </c>
      <c r="E1079" s="16" t="n">
        <f aca="false">INDEX(Parâmetros!$C$33:$C$37,MATCH(B1079,Parâmetros!$A$33:$A$37,0))</f>
        <v>5909.24487179487</v>
      </c>
      <c r="F1079" s="7" t="n">
        <f aca="false">MAX(0,(E1079-D1079)/D1079)</f>
        <v>0</v>
      </c>
      <c r="G1079" s="7" t="n">
        <f aca="false">MIN(K1079*Parâmetros!$B$19,Parâmetros!$B$8)</f>
        <v>0.0244038339849275</v>
      </c>
      <c r="H1079" s="3" t="str">
        <f aca="false">IF(F1079&gt;=Parâmetros!$B$6,"Ação","Acompanhamento")</f>
        <v>Acompanhamento</v>
      </c>
      <c r="I1079" s="17" t="n">
        <v>301.066878980892</v>
      </c>
      <c r="J1079" s="11" t="n">
        <f aca="false">D1079*I1079</f>
        <v>2049687.33545648</v>
      </c>
      <c r="K1079" s="7" t="n">
        <f aca="false">Parâmetros!$B$4+Parâmetros!$B$5*F1079</f>
        <v>0.02</v>
      </c>
      <c r="L1079" s="11" t="n">
        <f aca="false">D1079*(1+G1079)</f>
        <v>6974.22304313066</v>
      </c>
      <c r="M1079" s="14" t="n">
        <v>0</v>
      </c>
      <c r="N1079" s="4" t="n">
        <v>0.814814814814815</v>
      </c>
      <c r="O1079" s="3" t="str">
        <f aca="false">IF(AND(B1079=4,M1079=1),IF(N1079&lt;0.8,"Subgrupo 7 dias; fronteira de cluster","Subgrupo 7 dias"),IF(N1079&lt;0.8,"Fronteira de cluster",""))</f>
        <v/>
      </c>
    </row>
    <row r="1080" customFormat="false" ht="15" hidden="false" customHeight="false" outlineLevel="0" collapsed="false">
      <c r="A1080" s="14" t="n">
        <v>1079</v>
      </c>
      <c r="B1080" s="14" t="n">
        <v>1</v>
      </c>
      <c r="C1080" s="14" t="s">
        <v>30</v>
      </c>
      <c r="D1080" s="15" t="n">
        <v>8685.31241997439</v>
      </c>
      <c r="E1080" s="16" t="n">
        <f aca="false">INDEX(Parâmetros!$C$33:$C$37,MATCH(B1080,Parâmetros!$A$33:$A$37,0))</f>
        <v>6959.92435130262</v>
      </c>
      <c r="F1080" s="7" t="n">
        <f aca="false">MAX(0,(E1080-D1080)/D1080)</f>
        <v>0</v>
      </c>
      <c r="G1080" s="7" t="n">
        <f aca="false">MIN(K1080*Parâmetros!$B$19,Parâmetros!$B$8)</f>
        <v>0.0244038339849275</v>
      </c>
      <c r="H1080" s="3" t="str">
        <f aca="false">IF(F1080&gt;=Parâmetros!$B$6,"Ação","Acompanhamento")</f>
        <v>Acompanhamento</v>
      </c>
      <c r="I1080" s="17" t="n">
        <v>302.616772823779</v>
      </c>
      <c r="J1080" s="11" t="n">
        <f aca="false">D1080*I1080</f>
        <v>2628321.21549894</v>
      </c>
      <c r="K1080" s="7" t="n">
        <f aca="false">Parâmetros!$B$4+Parâmetros!$B$5*F1080</f>
        <v>0.02</v>
      </c>
      <c r="L1080" s="11" t="n">
        <f aca="false">D1080*(1+G1080)</f>
        <v>8897.26734237868</v>
      </c>
      <c r="M1080" s="14" t="n">
        <v>0</v>
      </c>
      <c r="N1080" s="4" t="n">
        <v>1</v>
      </c>
      <c r="O1080" s="3" t="str">
        <f aca="false">IF(AND(B1080=4,M1080=1),IF(N1080&lt;0.8,"Subgrupo 7 dias; fronteira de cluster","Subgrupo 7 dias"),IF(N1080&lt;0.8,"Fronteira de cluster",""))</f>
        <v/>
      </c>
    </row>
    <row r="1081" customFormat="false" ht="15" hidden="false" customHeight="false" outlineLevel="0" collapsed="false">
      <c r="A1081" s="14" t="n">
        <v>1080</v>
      </c>
      <c r="B1081" s="14" t="n">
        <v>1</v>
      </c>
      <c r="C1081" s="14" t="s">
        <v>30</v>
      </c>
      <c r="D1081" s="15" t="n">
        <v>10190.7652733119</v>
      </c>
      <c r="E1081" s="16" t="n">
        <f aca="false">INDEX(Parâmetros!$C$33:$C$37,MATCH(B1081,Parâmetros!$A$33:$A$37,0))</f>
        <v>6959.92435130262</v>
      </c>
      <c r="F1081" s="7" t="n">
        <f aca="false">MAX(0,(E1081-D1081)/D1081)</f>
        <v>0</v>
      </c>
      <c r="G1081" s="7" t="n">
        <f aca="false">MIN(K1081*Parâmetros!$B$19,Parâmetros!$B$8)</f>
        <v>0.0244038339849275</v>
      </c>
      <c r="H1081" s="3" t="str">
        <f aca="false">IF(F1081&gt;=Parâmetros!$B$6,"Ação","Acompanhamento")</f>
        <v>Acompanhamento</v>
      </c>
      <c r="I1081" s="17" t="n">
        <v>299.511873350924</v>
      </c>
      <c r="J1081" s="11" t="n">
        <f aca="false">D1081*I1081</f>
        <v>3052255.19788918</v>
      </c>
      <c r="K1081" s="7" t="n">
        <f aca="false">Parâmetros!$B$4+Parâmetros!$B$5*F1081</f>
        <v>0.02</v>
      </c>
      <c r="L1081" s="11" t="n">
        <f aca="false">D1081*(1+G1081)</f>
        <v>10439.4590172212</v>
      </c>
      <c r="M1081" s="14" t="n">
        <v>0</v>
      </c>
      <c r="N1081" s="4" t="n">
        <v>0.917647058823529</v>
      </c>
      <c r="O1081" s="3" t="str">
        <f aca="false">IF(AND(B1081=4,M1081=1),IF(N1081&lt;0.8,"Subgrupo 7 dias; fronteira de cluster","Subgrupo 7 dias"),IF(N1081&lt;0.8,"Fronteira de cluster",""))</f>
        <v/>
      </c>
    </row>
    <row r="1082" customFormat="false" ht="15" hidden="false" customHeight="false" outlineLevel="0" collapsed="false">
      <c r="A1082" s="14" t="n">
        <v>1081</v>
      </c>
      <c r="B1082" s="14" t="n">
        <v>0</v>
      </c>
      <c r="C1082" s="14" t="s">
        <v>29</v>
      </c>
      <c r="D1082" s="15" t="n">
        <v>5924.91941875826</v>
      </c>
      <c r="E1082" s="16" t="n">
        <f aca="false">INDEX(Parâmetros!$C$33:$C$37,MATCH(B1082,Parâmetros!$A$33:$A$37,0))</f>
        <v>5476.37033462034</v>
      </c>
      <c r="F1082" s="7" t="n">
        <f aca="false">MAX(0,(E1082-D1082)/D1082)</f>
        <v>0</v>
      </c>
      <c r="G1082" s="7" t="n">
        <f aca="false">MIN(K1082*Parâmetros!$B$19,Parâmetros!$B$8)</f>
        <v>0.0244038339849275</v>
      </c>
      <c r="H1082" s="3" t="str">
        <f aca="false">IF(F1082&gt;=Parâmetros!$B$6,"Ação","Acompanhamento")</f>
        <v>Acompanhamento</v>
      </c>
      <c r="I1082" s="17" t="n">
        <v>293.317409766454</v>
      </c>
      <c r="J1082" s="11" t="n">
        <f aca="false">D1082*I1082</f>
        <v>1737882.01698514</v>
      </c>
      <c r="K1082" s="7" t="n">
        <f aca="false">Parâmetros!$B$4+Parâmetros!$B$5*F1082</f>
        <v>0.02</v>
      </c>
      <c r="L1082" s="11" t="n">
        <f aca="false">D1082*(1+G1082)</f>
        <v>6069.51016862771</v>
      </c>
      <c r="M1082" s="14" t="n">
        <v>1</v>
      </c>
      <c r="N1082" s="4" t="n">
        <v>1</v>
      </c>
      <c r="O1082" s="3" t="str">
        <f aca="false">IF(AND(B1082=4,M1082=1),IF(N1082&lt;0.8,"Subgrupo 7 dias; fronteira de cluster","Subgrupo 7 dias"),IF(N1082&lt;0.8,"Fronteira de cluster",""))</f>
        <v/>
      </c>
    </row>
    <row r="1083" customFormat="false" ht="15" hidden="false" customHeight="false" outlineLevel="0" collapsed="false">
      <c r="A1083" s="14" t="n">
        <v>1082</v>
      </c>
      <c r="B1083" s="14" t="n">
        <v>2</v>
      </c>
      <c r="C1083" s="14" t="s">
        <v>31</v>
      </c>
      <c r="D1083" s="15" t="n">
        <v>7044.78717948718</v>
      </c>
      <c r="E1083" s="16" t="n">
        <f aca="false">INDEX(Parâmetros!$C$33:$C$37,MATCH(B1083,Parâmetros!$A$33:$A$37,0))</f>
        <v>6324.80102695764</v>
      </c>
      <c r="F1083" s="7" t="n">
        <f aca="false">MAX(0,(E1083-D1083)/D1083)</f>
        <v>0</v>
      </c>
      <c r="G1083" s="7" t="n">
        <f aca="false">MIN(K1083*Parâmetros!$B$19,Parâmetros!$B$8)</f>
        <v>0.0244038339849275</v>
      </c>
      <c r="H1083" s="3" t="str">
        <f aca="false">IF(F1083&gt;=Parâmetros!$B$6,"Ação","Acompanhamento")</f>
        <v>Acompanhamento</v>
      </c>
      <c r="I1083" s="17" t="n">
        <v>302.229299363057</v>
      </c>
      <c r="J1083" s="11" t="n">
        <f aca="false">D1083*I1083</f>
        <v>2129141.09341826</v>
      </c>
      <c r="K1083" s="7" t="n">
        <f aca="false">Parâmetros!$B$4+Parâmetros!$B$5*F1083</f>
        <v>0.02</v>
      </c>
      <c r="L1083" s="11" t="n">
        <f aca="false">D1083*(1+G1083)</f>
        <v>7216.70699627453</v>
      </c>
      <c r="M1083" s="14" t="n">
        <v>0</v>
      </c>
      <c r="N1083" s="4" t="n">
        <v>1</v>
      </c>
      <c r="O1083" s="3" t="str">
        <f aca="false">IF(AND(B1083=4,M1083=1),IF(N1083&lt;0.8,"Subgrupo 7 dias; fronteira de cluster","Subgrupo 7 dias"),IF(N1083&lt;0.8,"Fronteira de cluster",""))</f>
        <v/>
      </c>
    </row>
    <row r="1084" customFormat="false" ht="15" hidden="false" customHeight="false" outlineLevel="0" collapsed="false">
      <c r="A1084" s="14" t="n">
        <v>1083</v>
      </c>
      <c r="B1084" s="14" t="n">
        <v>1</v>
      </c>
      <c r="C1084" s="14" t="s">
        <v>30</v>
      </c>
      <c r="D1084" s="15" t="n">
        <v>5146.36875800256</v>
      </c>
      <c r="E1084" s="16" t="n">
        <f aca="false">INDEX(Parâmetros!$C$33:$C$37,MATCH(B1084,Parâmetros!$A$33:$A$37,0))</f>
        <v>6959.92435130262</v>
      </c>
      <c r="F1084" s="7" t="n">
        <f aca="false">MAX(0,(E1084-D1084)/D1084)</f>
        <v>0.352395189419724</v>
      </c>
      <c r="G1084" s="7" t="n">
        <f aca="false">MIN(K1084*Parâmetros!$B$19,Parâmetros!$B$8)</f>
        <v>0.131901255231002</v>
      </c>
      <c r="H1084" s="3" t="str">
        <f aca="false">IF(F1084&gt;=Parâmetros!$B$6,"Ação","Acompanhamento")</f>
        <v>Ação</v>
      </c>
      <c r="I1084" s="17" t="n">
        <v>302.616772823779</v>
      </c>
      <c r="J1084" s="11" t="n">
        <f aca="false">D1084*I1084</f>
        <v>1557377.50530786</v>
      </c>
      <c r="K1084" s="7" t="n">
        <f aca="false">Parâmetros!$B$4+Parâmetros!$B$5*F1084</f>
        <v>0.108098797354931</v>
      </c>
      <c r="L1084" s="11" t="n">
        <f aca="false">D1084*(1+G1084)</f>
        <v>5825.18125706471</v>
      </c>
      <c r="M1084" s="14" t="n">
        <v>0</v>
      </c>
      <c r="N1084" s="4" t="n">
        <v>1</v>
      </c>
      <c r="O1084" s="3" t="str">
        <f aca="false">IF(AND(B1084=4,M1084=1),IF(N1084&lt;0.8,"Subgrupo 7 dias; fronteira de cluster","Subgrupo 7 dias"),IF(N1084&lt;0.8,"Fronteira de cluster",""))</f>
        <v/>
      </c>
    </row>
    <row r="1085" customFormat="false" ht="15" hidden="false" customHeight="false" outlineLevel="0" collapsed="false">
      <c r="A1085" s="14" t="n">
        <v>1084</v>
      </c>
      <c r="B1085" s="14" t="n">
        <v>4</v>
      </c>
      <c r="C1085" s="14" t="s">
        <v>33</v>
      </c>
      <c r="D1085" s="15" t="n">
        <v>6271.36956521739</v>
      </c>
      <c r="E1085" s="16" t="n">
        <f aca="false">INDEX(Parâmetros!$C$33:$C$37,MATCH(B1085,Parâmetros!$A$33:$A$37,0))</f>
        <v>8837.10512820513</v>
      </c>
      <c r="F1085" s="7" t="n">
        <f aca="false">MAX(0,(E1085-D1085)/D1085)</f>
        <v>0.409118859334643</v>
      </c>
      <c r="G1085" s="7" t="n">
        <f aca="false">MIN(K1085*Parâmetros!$B$19,Parâmetros!$B$8)</f>
        <v>0.149204693026246</v>
      </c>
      <c r="H1085" s="3" t="str">
        <f aca="false">IF(F1085&gt;=Parâmetros!$B$6,"Ação","Acompanhamento")</f>
        <v>Ação</v>
      </c>
      <c r="I1085" s="17" t="n">
        <v>303.004246284501</v>
      </c>
      <c r="J1085" s="11" t="n">
        <f aca="false">D1085*I1085</f>
        <v>1900251.60828026</v>
      </c>
      <c r="K1085" s="7" t="n">
        <f aca="false">Parâmetros!$B$4+Parâmetros!$B$5*F1085</f>
        <v>0.122279714833661</v>
      </c>
      <c r="L1085" s="11" t="n">
        <f aca="false">D1085*(1+G1085)</f>
        <v>7207.0873360498</v>
      </c>
      <c r="M1085" s="14" t="n">
        <v>0</v>
      </c>
      <c r="N1085" s="4" t="n">
        <v>1</v>
      </c>
      <c r="O1085" s="3" t="str">
        <f aca="false">IF(AND(B1085=4,M1085=1),IF(N1085&lt;0.8,"Subgrupo 7 dias; fronteira de cluster","Subgrupo 7 dias"),IF(N1085&lt;0.8,"Fronteira de cluster",""))</f>
        <v/>
      </c>
    </row>
    <row r="1086" customFormat="false" ht="15" hidden="false" customHeight="false" outlineLevel="0" collapsed="false">
      <c r="A1086" s="14" t="n">
        <v>1085</v>
      </c>
      <c r="B1086" s="14" t="n">
        <v>1</v>
      </c>
      <c r="C1086" s="14" t="s">
        <v>30</v>
      </c>
      <c r="D1086" s="15" t="n">
        <v>7567.23341836735</v>
      </c>
      <c r="E1086" s="16" t="n">
        <f aca="false">INDEX(Parâmetros!$C$33:$C$37,MATCH(B1086,Parâmetros!$A$33:$A$37,0))</f>
        <v>6959.92435130262</v>
      </c>
      <c r="F1086" s="7" t="n">
        <f aca="false">MAX(0,(E1086-D1086)/D1086)</f>
        <v>0</v>
      </c>
      <c r="G1086" s="7" t="n">
        <f aca="false">MIN(K1086*Parâmetros!$B$19,Parâmetros!$B$8)</f>
        <v>0.0244038339849275</v>
      </c>
      <c r="H1086" s="3" t="str">
        <f aca="false">IF(F1086&gt;=Parâmetros!$B$6,"Ação","Acompanhamento")</f>
        <v>Acompanhamento</v>
      </c>
      <c r="I1086" s="17" t="n">
        <v>303.779193205945</v>
      </c>
      <c r="J1086" s="11" t="n">
        <f aca="false">D1086*I1086</f>
        <v>2298768.0626327</v>
      </c>
      <c r="K1086" s="7" t="n">
        <f aca="false">Parâmetros!$B$4+Parâmetros!$B$5*F1086</f>
        <v>0.02</v>
      </c>
      <c r="L1086" s="11" t="n">
        <f aca="false">D1086*(1+G1086)</f>
        <v>7751.90292643438</v>
      </c>
      <c r="M1086" s="14" t="n">
        <v>0</v>
      </c>
      <c r="N1086" s="4" t="n">
        <v>1</v>
      </c>
      <c r="O1086" s="3" t="str">
        <f aca="false">IF(AND(B1086=4,M1086=1),IF(N1086&lt;0.8,"Subgrupo 7 dias; fronteira de cluster","Subgrupo 7 dias"),IF(N1086&lt;0.8,"Fronteira de cluster",""))</f>
        <v/>
      </c>
    </row>
    <row r="1087" customFormat="false" ht="15" hidden="false" customHeight="false" outlineLevel="0" collapsed="false">
      <c r="A1087" s="14" t="n">
        <v>1086</v>
      </c>
      <c r="B1087" s="14" t="n">
        <v>3</v>
      </c>
      <c r="C1087" s="14" t="s">
        <v>32</v>
      </c>
      <c r="D1087" s="15" t="n">
        <v>7677.40973111396</v>
      </c>
      <c r="E1087" s="16" t="n">
        <f aca="false">INDEX(Parâmetros!$C$33:$C$37,MATCH(B1087,Parâmetros!$A$33:$A$37,0))</f>
        <v>5909.24487179487</v>
      </c>
      <c r="F1087" s="7" t="n">
        <f aca="false">MAX(0,(E1087-D1087)/D1087)</f>
        <v>0</v>
      </c>
      <c r="G1087" s="7" t="n">
        <f aca="false">MIN(K1087*Parâmetros!$B$19,Parâmetros!$B$8)</f>
        <v>0.0244038339849275</v>
      </c>
      <c r="H1087" s="3" t="str">
        <f aca="false">IF(F1087&gt;=Parâmetros!$B$6,"Ação","Acompanhamento")</f>
        <v>Acompanhamento</v>
      </c>
      <c r="I1087" s="17" t="n">
        <v>302.616772823779</v>
      </c>
      <c r="J1087" s="11" t="n">
        <f aca="false">D1087*I1087</f>
        <v>2323312.95647558</v>
      </c>
      <c r="K1087" s="7" t="n">
        <f aca="false">Parâmetros!$B$4+Parâmetros!$B$5*F1087</f>
        <v>0.02</v>
      </c>
      <c r="L1087" s="11" t="n">
        <f aca="false">D1087*(1+G1087)</f>
        <v>7864.76796362633</v>
      </c>
      <c r="M1087" s="14" t="n">
        <v>0</v>
      </c>
      <c r="N1087" s="4" t="n">
        <v>0.733333333333333</v>
      </c>
      <c r="O1087" s="3" t="str">
        <f aca="false">IF(AND(B1087=4,M1087=1),IF(N1087&lt;0.8,"Subgrupo 7 dias; fronteira de cluster","Subgrupo 7 dias"),IF(N1087&lt;0.8,"Fronteira de cluster",""))</f>
        <v>Fronteira de cluster</v>
      </c>
    </row>
    <row r="1088" customFormat="false" ht="15" hidden="false" customHeight="false" outlineLevel="0" collapsed="false">
      <c r="A1088" s="14" t="n">
        <v>1087</v>
      </c>
      <c r="B1088" s="14" t="n">
        <v>1</v>
      </c>
      <c r="C1088" s="14" t="s">
        <v>30</v>
      </c>
      <c r="D1088" s="15" t="n">
        <v>6282.20280612245</v>
      </c>
      <c r="E1088" s="16" t="n">
        <f aca="false">INDEX(Parâmetros!$C$33:$C$37,MATCH(B1088,Parâmetros!$A$33:$A$37,0))</f>
        <v>6959.92435130262</v>
      </c>
      <c r="F1088" s="7" t="n">
        <f aca="false">MAX(0,(E1088-D1088)/D1088)</f>
        <v>0.107879603078029</v>
      </c>
      <c r="G1088" s="7" t="n">
        <f aca="false">MIN(K1088*Parâmetros!$B$19,Parâmetros!$B$8)</f>
        <v>0.0573122830333787</v>
      </c>
      <c r="H1088" s="3" t="str">
        <f aca="false">IF(F1088&gt;=Parâmetros!$B$6,"Ação","Acompanhamento")</f>
        <v>Ação</v>
      </c>
      <c r="I1088" s="17" t="n">
        <v>303.779193205945</v>
      </c>
      <c r="J1088" s="11" t="n">
        <f aca="false">D1088*I1088</f>
        <v>1908402.5</v>
      </c>
      <c r="K1088" s="7" t="n">
        <f aca="false">Parâmetros!$B$4+Parâmetros!$B$5*F1088</f>
        <v>0.0469699007695073</v>
      </c>
      <c r="L1088" s="11" t="n">
        <f aca="false">D1088*(1+G1088)</f>
        <v>6642.25019142003</v>
      </c>
      <c r="M1088" s="14" t="n">
        <v>0</v>
      </c>
      <c r="N1088" s="4" t="n">
        <v>1</v>
      </c>
      <c r="O1088" s="3" t="str">
        <f aca="false">IF(AND(B1088=4,M1088=1),IF(N1088&lt;0.8,"Subgrupo 7 dias; fronteira de cluster","Subgrupo 7 dias"),IF(N1088&lt;0.8,"Fronteira de cluster",""))</f>
        <v/>
      </c>
    </row>
    <row r="1089" customFormat="false" ht="15" hidden="false" customHeight="false" outlineLevel="0" collapsed="false">
      <c r="A1089" s="14" t="n">
        <v>1088</v>
      </c>
      <c r="B1089" s="14" t="n">
        <v>3</v>
      </c>
      <c r="C1089" s="14" t="s">
        <v>32</v>
      </c>
      <c r="D1089" s="15" t="n">
        <v>5084.70346598203</v>
      </c>
      <c r="E1089" s="16" t="n">
        <f aca="false">INDEX(Parâmetros!$C$33:$C$37,MATCH(B1089,Parâmetros!$A$33:$A$37,0))</f>
        <v>5909.24487179487</v>
      </c>
      <c r="F1089" s="7" t="n">
        <f aca="false">MAX(0,(E1089-D1089)/D1089)</f>
        <v>0.162161158724248</v>
      </c>
      <c r="G1089" s="7" t="n">
        <f aca="false">MIN(K1089*Parâmetros!$B$19,Parâmetros!$B$8)</f>
        <v>0.0738707589388025</v>
      </c>
      <c r="H1089" s="3" t="str">
        <f aca="false">IF(F1089&gt;=Parâmetros!$B$6,"Ação","Acompanhamento")</f>
        <v>Ação</v>
      </c>
      <c r="I1089" s="17" t="n">
        <v>301.841825902336</v>
      </c>
      <c r="J1089" s="11" t="n">
        <f aca="false">D1089*I1089</f>
        <v>1534776.17834395</v>
      </c>
      <c r="K1089" s="7" t="n">
        <f aca="false">Parâmetros!$B$4+Parâmetros!$B$5*F1089</f>
        <v>0.0605402896810619</v>
      </c>
      <c r="L1089" s="11" t="n">
        <f aca="false">D1089*(1+G1089)</f>
        <v>5460.31436999288</v>
      </c>
      <c r="M1089" s="14" t="n">
        <v>0</v>
      </c>
      <c r="N1089" s="4" t="n">
        <v>0.987341772151899</v>
      </c>
      <c r="O1089" s="3" t="str">
        <f aca="false">IF(AND(B1089=4,M1089=1),IF(N1089&lt;0.8,"Subgrupo 7 dias; fronteira de cluster","Subgrupo 7 dias"),IF(N1089&lt;0.8,"Fronteira de cluster",""))</f>
        <v/>
      </c>
    </row>
    <row r="1090" customFormat="false" ht="15" hidden="false" customHeight="false" outlineLevel="0" collapsed="false">
      <c r="A1090" s="14" t="n">
        <v>1089</v>
      </c>
      <c r="B1090" s="14" t="n">
        <v>1</v>
      </c>
      <c r="C1090" s="14" t="s">
        <v>30</v>
      </c>
      <c r="D1090" s="15" t="n">
        <v>10160.7612323492</v>
      </c>
      <c r="E1090" s="16" t="n">
        <f aca="false">INDEX(Parâmetros!$C$33:$C$37,MATCH(B1090,Parâmetros!$A$33:$A$37,0))</f>
        <v>6959.92435130262</v>
      </c>
      <c r="F1090" s="7" t="n">
        <f aca="false">MAX(0,(E1090-D1090)/D1090)</f>
        <v>0</v>
      </c>
      <c r="G1090" s="7" t="n">
        <f aca="false">MIN(K1090*Parâmetros!$B$19,Parâmetros!$B$8)</f>
        <v>0.0244038339849275</v>
      </c>
      <c r="H1090" s="3" t="str">
        <f aca="false">IF(F1090&gt;=Parâmetros!$B$6,"Ação","Acompanhamento")</f>
        <v>Acompanhamento</v>
      </c>
      <c r="I1090" s="17" t="n">
        <v>301.841825902336</v>
      </c>
      <c r="J1090" s="11" t="n">
        <f aca="false">D1090*I1090</f>
        <v>3066942.72292993</v>
      </c>
      <c r="K1090" s="7" t="n">
        <f aca="false">Parâmetros!$B$4+Parâmetros!$B$5*F1090</f>
        <v>0.02</v>
      </c>
      <c r="L1090" s="11" t="n">
        <f aca="false">D1090*(1+G1090)</f>
        <v>10408.7227626239</v>
      </c>
      <c r="M1090" s="14" t="n">
        <v>0</v>
      </c>
      <c r="N1090" s="4" t="n">
        <v>0.96</v>
      </c>
      <c r="O1090" s="3" t="str">
        <f aca="false">IF(AND(B1090=4,M1090=1),IF(N1090&lt;0.8,"Subgrupo 7 dias; fronteira de cluster","Subgrupo 7 dias"),IF(N1090&lt;0.8,"Fronteira de cluster",""))</f>
        <v/>
      </c>
    </row>
    <row r="1091" customFormat="false" ht="15" hidden="false" customHeight="false" outlineLevel="0" collapsed="false">
      <c r="A1091" s="14" t="n">
        <v>1090</v>
      </c>
      <c r="B1091" s="14" t="n">
        <v>3</v>
      </c>
      <c r="C1091" s="14" t="s">
        <v>32</v>
      </c>
      <c r="D1091" s="15" t="n">
        <v>6453.0717948718</v>
      </c>
      <c r="E1091" s="16" t="n">
        <f aca="false">INDEX(Parâmetros!$C$33:$C$37,MATCH(B1091,Parâmetros!$A$33:$A$37,0))</f>
        <v>5909.24487179487</v>
      </c>
      <c r="F1091" s="7" t="n">
        <f aca="false">MAX(0,(E1091-D1091)/D1091)</f>
        <v>0</v>
      </c>
      <c r="G1091" s="7" t="n">
        <f aca="false">MIN(K1091*Parâmetros!$B$19,Parâmetros!$B$8)</f>
        <v>0.0244038339849275</v>
      </c>
      <c r="H1091" s="3" t="str">
        <f aca="false">IF(F1091&gt;=Parâmetros!$B$6,"Ação","Acompanhamento")</f>
        <v>Acompanhamento</v>
      </c>
      <c r="I1091" s="17" t="n">
        <v>302.229299363057</v>
      </c>
      <c r="J1091" s="11" t="n">
        <f aca="false">D1091*I1091</f>
        <v>1950307.36730361</v>
      </c>
      <c r="K1091" s="7" t="n">
        <f aca="false">Parâmetros!$B$4+Parâmetros!$B$5*F1091</f>
        <v>0.02</v>
      </c>
      <c r="L1091" s="11" t="n">
        <f aca="false">D1091*(1+G1091)</f>
        <v>6610.55148764666</v>
      </c>
      <c r="M1091" s="14" t="n">
        <v>0</v>
      </c>
      <c r="N1091" s="4" t="n">
        <v>0.779069767441861</v>
      </c>
      <c r="O1091" s="3" t="str">
        <f aca="false">IF(AND(B1091=4,M1091=1),IF(N1091&lt;0.8,"Subgrupo 7 dias; fronteira de cluster","Subgrupo 7 dias"),IF(N1091&lt;0.8,"Fronteira de cluster",""))</f>
        <v>Fronteira de cluster</v>
      </c>
    </row>
    <row r="1092" customFormat="false" ht="15" hidden="false" customHeight="false" outlineLevel="0" collapsed="false">
      <c r="A1092" s="14" t="n">
        <v>1091</v>
      </c>
      <c r="B1092" s="14" t="n">
        <v>1</v>
      </c>
      <c r="C1092" s="14" t="s">
        <v>30</v>
      </c>
      <c r="D1092" s="15" t="n">
        <v>8276.34566326531</v>
      </c>
      <c r="E1092" s="16" t="n">
        <f aca="false">INDEX(Parâmetros!$C$33:$C$37,MATCH(B1092,Parâmetros!$A$33:$A$37,0))</f>
        <v>6959.92435130262</v>
      </c>
      <c r="F1092" s="7" t="n">
        <f aca="false">MAX(0,(E1092-D1092)/D1092)</f>
        <v>0</v>
      </c>
      <c r="G1092" s="7" t="n">
        <f aca="false">MIN(K1092*Parâmetros!$B$19,Parâmetros!$B$8)</f>
        <v>0.0244038339849275</v>
      </c>
      <c r="H1092" s="3" t="str">
        <f aca="false">IF(F1092&gt;=Parâmetros!$B$6,"Ação","Acompanhamento")</f>
        <v>Acompanhamento</v>
      </c>
      <c r="I1092" s="17" t="n">
        <v>303.779193205945</v>
      </c>
      <c r="J1092" s="11" t="n">
        <f aca="false">D1092*I1092</f>
        <v>2514181.60828026</v>
      </c>
      <c r="K1092" s="7" t="n">
        <f aca="false">Parâmetros!$B$4+Parâmetros!$B$5*F1092</f>
        <v>0.02</v>
      </c>
      <c r="L1092" s="11" t="n">
        <f aca="false">D1092*(1+G1092)</f>
        <v>8478.32022883351</v>
      </c>
      <c r="M1092" s="14" t="n">
        <v>0</v>
      </c>
      <c r="N1092" s="4" t="n">
        <v>1</v>
      </c>
      <c r="O1092" s="3" t="str">
        <f aca="false">IF(AND(B1092=4,M1092=1),IF(N1092&lt;0.8,"Subgrupo 7 dias; fronteira de cluster","Subgrupo 7 dias"),IF(N1092&lt;0.8,"Fronteira de cluster",""))</f>
        <v/>
      </c>
    </row>
    <row r="1093" customFormat="false" ht="15" hidden="false" customHeight="false" outlineLevel="0" collapsed="false">
      <c r="A1093" s="14" t="n">
        <v>1092</v>
      </c>
      <c r="B1093" s="14" t="n">
        <v>4</v>
      </c>
      <c r="C1093" s="14" t="s">
        <v>33</v>
      </c>
      <c r="D1093" s="15" t="n">
        <v>11960.538585209</v>
      </c>
      <c r="E1093" s="16" t="n">
        <f aca="false">INDEX(Parâmetros!$C$33:$C$37,MATCH(B1093,Parâmetros!$A$33:$A$37,0))</f>
        <v>8837.10512820513</v>
      </c>
      <c r="F1093" s="7" t="n">
        <f aca="false">MAX(0,(E1093-D1093)/D1093)</f>
        <v>0</v>
      </c>
      <c r="G1093" s="7" t="n">
        <f aca="false">MIN(K1093*Parâmetros!$B$19,Parâmetros!$B$8)</f>
        <v>0.0244038339849275</v>
      </c>
      <c r="H1093" s="3" t="str">
        <f aca="false">IF(F1093&gt;=Parâmetros!$B$6,"Ação","Acompanhamento")</f>
        <v>Acompanhamento</v>
      </c>
      <c r="I1093" s="17" t="n">
        <v>299.511873350924</v>
      </c>
      <c r="J1093" s="11" t="n">
        <f aca="false">D1093*I1093</f>
        <v>3582323.31794195</v>
      </c>
      <c r="K1093" s="7" t="n">
        <f aca="false">Parâmetros!$B$4+Parâmetros!$B$5*F1093</f>
        <v>0.02</v>
      </c>
      <c r="L1093" s="11" t="n">
        <f aca="false">D1093*(1+G1093)</f>
        <v>12252.4215832128</v>
      </c>
      <c r="M1093" s="14" t="n">
        <v>0</v>
      </c>
      <c r="N1093" s="4" t="n">
        <v>1</v>
      </c>
      <c r="O1093" s="3" t="str">
        <f aca="false">IF(AND(B1093=4,M1093=1),IF(N1093&lt;0.8,"Subgrupo 7 dias; fronteira de cluster","Subgrupo 7 dias"),IF(N1093&lt;0.8,"Fronteira de cluster",""))</f>
        <v/>
      </c>
    </row>
    <row r="1094" customFormat="false" ht="15" hidden="false" customHeight="false" outlineLevel="0" collapsed="false">
      <c r="A1094" s="14" t="n">
        <v>1093</v>
      </c>
      <c r="B1094" s="14" t="n">
        <v>1</v>
      </c>
      <c r="C1094" s="14" t="s">
        <v>30</v>
      </c>
      <c r="D1094" s="15" t="n">
        <v>8338.82692307692</v>
      </c>
      <c r="E1094" s="16" t="n">
        <f aca="false">INDEX(Parâmetros!$C$33:$C$37,MATCH(B1094,Parâmetros!$A$33:$A$37,0))</f>
        <v>6959.92435130262</v>
      </c>
      <c r="F1094" s="7" t="n">
        <f aca="false">MAX(0,(E1094-D1094)/D1094)</f>
        <v>0</v>
      </c>
      <c r="G1094" s="7" t="n">
        <f aca="false">MIN(K1094*Parâmetros!$B$19,Parâmetros!$B$8)</f>
        <v>0.0244038339849275</v>
      </c>
      <c r="H1094" s="3" t="str">
        <f aca="false">IF(F1094&gt;=Parâmetros!$B$6,"Ação","Acompanhamento")</f>
        <v>Acompanhamento</v>
      </c>
      <c r="I1094" s="17" t="n">
        <v>302.229299363057</v>
      </c>
      <c r="J1094" s="11" t="n">
        <f aca="false">D1094*I1094</f>
        <v>2520237.81847134</v>
      </c>
      <c r="K1094" s="7" t="n">
        <f aca="false">Parâmetros!$B$4+Parâmetros!$B$5*F1094</f>
        <v>0.02</v>
      </c>
      <c r="L1094" s="11" t="n">
        <f aca="false">D1094*(1+G1094)</f>
        <v>8542.32627093674</v>
      </c>
      <c r="M1094" s="14" t="n">
        <v>0</v>
      </c>
      <c r="N1094" s="4" t="n">
        <v>1</v>
      </c>
      <c r="O1094" s="3" t="str">
        <f aca="false">IF(AND(B1094=4,M1094=1),IF(N1094&lt;0.8,"Subgrupo 7 dias; fronteira de cluster","Subgrupo 7 dias"),IF(N1094&lt;0.8,"Fronteira de cluster",""))</f>
        <v/>
      </c>
    </row>
    <row r="1095" customFormat="false" ht="15" hidden="false" customHeight="false" outlineLevel="0" collapsed="false">
      <c r="A1095" s="14" t="n">
        <v>1094</v>
      </c>
      <c r="B1095" s="14" t="n">
        <v>1</v>
      </c>
      <c r="C1095" s="14" t="s">
        <v>30</v>
      </c>
      <c r="D1095" s="15" t="n">
        <v>4574.7154340836</v>
      </c>
      <c r="E1095" s="16" t="n">
        <f aca="false">INDEX(Parâmetros!$C$33:$C$37,MATCH(B1095,Parâmetros!$A$33:$A$37,0))</f>
        <v>6959.92435130262</v>
      </c>
      <c r="F1095" s="7" t="n">
        <f aca="false">MAX(0,(E1095-D1095)/D1095)</f>
        <v>0.52138957091149</v>
      </c>
      <c r="G1095" s="7" t="n">
        <f aca="false">MIN(K1095*Parâmetros!$B$19,Parâmetros!$B$8)</f>
        <v>0.183452640609884</v>
      </c>
      <c r="H1095" s="3" t="str">
        <f aca="false">IF(F1095&gt;=Parâmetros!$B$6,"Ação","Acompanhamento")</f>
        <v>Ação</v>
      </c>
      <c r="I1095" s="17" t="n">
        <v>299.511873350924</v>
      </c>
      <c r="J1095" s="11" t="n">
        <f aca="false">D1095*I1095</f>
        <v>1370181.58970976</v>
      </c>
      <c r="K1095" s="7" t="n">
        <f aca="false">Parâmetros!$B$4+Parâmetros!$B$5*F1095</f>
        <v>0.150347392727873</v>
      </c>
      <c r="L1095" s="11" t="n">
        <f aca="false">D1095*(1+G1095)</f>
        <v>5413.95906050503</v>
      </c>
      <c r="M1095" s="14" t="n">
        <v>0</v>
      </c>
      <c r="N1095" s="4" t="n">
        <v>1</v>
      </c>
      <c r="O1095" s="3" t="str">
        <f aca="false">IF(AND(B1095=4,M1095=1),IF(N1095&lt;0.8,"Subgrupo 7 dias; fronteira de cluster","Subgrupo 7 dias"),IF(N1095&lt;0.8,"Fronteira de cluster",""))</f>
        <v/>
      </c>
    </row>
    <row r="1096" customFormat="false" ht="15" hidden="false" customHeight="false" outlineLevel="0" collapsed="false">
      <c r="A1096" s="14" t="n">
        <v>1095</v>
      </c>
      <c r="B1096" s="14" t="n">
        <v>0</v>
      </c>
      <c r="C1096" s="14" t="s">
        <v>29</v>
      </c>
      <c r="D1096" s="15" t="n">
        <v>4781.41560102302</v>
      </c>
      <c r="E1096" s="16" t="n">
        <f aca="false">INDEX(Parâmetros!$C$33:$C$37,MATCH(B1096,Parâmetros!$A$33:$A$37,0))</f>
        <v>5476.37033462034</v>
      </c>
      <c r="F1096" s="7" t="n">
        <f aca="false">MAX(0,(E1096-D1096)/D1096)</f>
        <v>0.145344975544194</v>
      </c>
      <c r="G1096" s="7" t="n">
        <f aca="false">MIN(K1096*Parâmetros!$B$19,Parâmetros!$B$8)</f>
        <v>0.0687410171564755</v>
      </c>
      <c r="H1096" s="3" t="str">
        <f aca="false">IF(F1096&gt;=Parâmetros!$B$6,"Ação","Acompanhamento")</f>
        <v>Ação</v>
      </c>
      <c r="I1096" s="17" t="n">
        <v>303.004246284501</v>
      </c>
      <c r="J1096" s="11" t="n">
        <f aca="false">D1096*I1096</f>
        <v>1448789.23036093</v>
      </c>
      <c r="K1096" s="7" t="n">
        <f aca="false">Parâmetros!$B$4+Parâmetros!$B$5*F1096</f>
        <v>0.0563362438860484</v>
      </c>
      <c r="L1096" s="11" t="n">
        <f aca="false">D1096*(1+G1096)</f>
        <v>5110.09497288518</v>
      </c>
      <c r="M1096" s="14" t="n">
        <v>0</v>
      </c>
      <c r="N1096" s="4" t="n">
        <v>0.51764705882353</v>
      </c>
      <c r="O1096" s="3" t="str">
        <f aca="false">IF(AND(B1096=4,M1096=1),IF(N1096&lt;0.8,"Subgrupo 7 dias; fronteira de cluster","Subgrupo 7 dias"),IF(N1096&lt;0.8,"Fronteira de cluster",""))</f>
        <v>Fronteira de cluster</v>
      </c>
    </row>
    <row r="1097" customFormat="false" ht="15" hidden="false" customHeight="false" outlineLevel="0" collapsed="false">
      <c r="A1097" s="14" t="n">
        <v>1096</v>
      </c>
      <c r="B1097" s="14" t="n">
        <v>0</v>
      </c>
      <c r="C1097" s="14" t="s">
        <v>29</v>
      </c>
      <c r="D1097" s="15" t="n">
        <v>5456.52374839538</v>
      </c>
      <c r="E1097" s="16" t="n">
        <f aca="false">INDEX(Parâmetros!$C$33:$C$37,MATCH(B1097,Parâmetros!$A$33:$A$37,0))</f>
        <v>5476.37033462034</v>
      </c>
      <c r="F1097" s="7" t="n">
        <f aca="false">MAX(0,(E1097-D1097)/D1097)</f>
        <v>0.00363722163415714</v>
      </c>
      <c r="G1097" s="7" t="n">
        <f aca="false">MIN(K1097*Parâmetros!$B$19,Parâmetros!$B$8)</f>
        <v>0.0255133608965069</v>
      </c>
      <c r="H1097" s="3" t="str">
        <f aca="false">IF(F1097&gt;=Parâmetros!$B$6,"Ação","Acompanhamento")</f>
        <v>Acompanhamento</v>
      </c>
      <c r="I1097" s="17" t="n">
        <v>301.841825902336</v>
      </c>
      <c r="J1097" s="11" t="n">
        <f aca="false">D1097*I1097</f>
        <v>1647007.09129512</v>
      </c>
      <c r="K1097" s="7" t="n">
        <f aca="false">Parâmetros!$B$4+Parâmetros!$B$5*F1097</f>
        <v>0.0209093054085393</v>
      </c>
      <c r="L1097" s="11" t="n">
        <f aca="false">D1097*(1+G1097)</f>
        <v>5595.73800802855</v>
      </c>
      <c r="M1097" s="14" t="n">
        <v>0</v>
      </c>
      <c r="N1097" s="4" t="n">
        <v>1</v>
      </c>
      <c r="O1097" s="3" t="str">
        <f aca="false">IF(AND(B1097=4,M1097=1),IF(N1097&lt;0.8,"Subgrupo 7 dias; fronteira de cluster","Subgrupo 7 dias"),IF(N1097&lt;0.8,"Fronteira de cluster",""))</f>
        <v/>
      </c>
    </row>
    <row r="1098" customFormat="false" ht="15" hidden="false" customHeight="false" outlineLevel="0" collapsed="false">
      <c r="A1098" s="14" t="n">
        <v>1097</v>
      </c>
      <c r="B1098" s="14" t="n">
        <v>4</v>
      </c>
      <c r="C1098" s="14" t="s">
        <v>33</v>
      </c>
      <c r="D1098" s="15" t="n">
        <v>9744.59978768578</v>
      </c>
      <c r="E1098" s="16" t="n">
        <f aca="false">INDEX(Parâmetros!$C$33:$C$37,MATCH(B1098,Parâmetros!$A$33:$A$37,0))</f>
        <v>8837.10512820513</v>
      </c>
      <c r="F1098" s="7" t="n">
        <f aca="false">MAX(0,(E1098-D1098)/D1098)</f>
        <v>0</v>
      </c>
      <c r="G1098" s="7" t="n">
        <f aca="false">MIN(K1098*Parâmetros!$B$19,Parâmetros!$B$8)</f>
        <v>0.0244038339849275</v>
      </c>
      <c r="H1098" s="3" t="str">
        <f aca="false">IF(F1098&gt;=Parâmetros!$B$6,"Ação","Acompanhamento")</f>
        <v>Acompanhamento</v>
      </c>
      <c r="I1098" s="17" t="n">
        <v>365</v>
      </c>
      <c r="J1098" s="11" t="n">
        <f aca="false">D1098*I1098</f>
        <v>3556778.92250531</v>
      </c>
      <c r="K1098" s="7" t="n">
        <f aca="false">Parâmetros!$B$4+Parâmetros!$B$5*F1098</f>
        <v>0.02</v>
      </c>
      <c r="L1098" s="11" t="n">
        <f aca="false">D1098*(1+G1098)</f>
        <v>9982.40538315402</v>
      </c>
      <c r="M1098" s="14" t="n">
        <v>1</v>
      </c>
      <c r="N1098" s="4" t="n">
        <v>1</v>
      </c>
      <c r="O1098" s="3" t="str">
        <f aca="false">IF(AND(B1098=4,M1098=1),IF(N1098&lt;0.8,"Subgrupo 7 dias; fronteira de cluster","Subgrupo 7 dias"),IF(N1098&lt;0.8,"Fronteira de cluster",""))</f>
        <v>Subgrupo 7 dias</v>
      </c>
    </row>
    <row r="1099" customFormat="false" ht="15" hidden="false" customHeight="false" outlineLevel="0" collapsed="false">
      <c r="A1099" s="14" t="n">
        <v>1098</v>
      </c>
      <c r="B1099" s="14" t="n">
        <v>0</v>
      </c>
      <c r="C1099" s="14" t="s">
        <v>29</v>
      </c>
      <c r="D1099" s="15" t="n">
        <v>5259.49743589744</v>
      </c>
      <c r="E1099" s="16" t="n">
        <f aca="false">INDEX(Parâmetros!$C$33:$C$37,MATCH(B1099,Parâmetros!$A$33:$A$37,0))</f>
        <v>5476.37033462034</v>
      </c>
      <c r="F1099" s="7" t="n">
        <f aca="false">MAX(0,(E1099-D1099)/D1099)</f>
        <v>0.0412345288435136</v>
      </c>
      <c r="G1099" s="7" t="n">
        <f aca="false">MIN(K1099*Parâmetros!$B$19,Parâmetros!$B$8)</f>
        <v>0.0369823414392251</v>
      </c>
      <c r="H1099" s="3" t="str">
        <f aca="false">IF(F1099&gt;=Parâmetros!$B$6,"Ação","Acompanhamento")</f>
        <v>Acompanhamento</v>
      </c>
      <c r="I1099" s="17" t="n">
        <v>302.229299363057</v>
      </c>
      <c r="J1099" s="11" t="n">
        <f aca="false">D1099*I1099</f>
        <v>1589574.22505308</v>
      </c>
      <c r="K1099" s="7" t="n">
        <f aca="false">Parâmetros!$B$4+Parâmetros!$B$5*F1099</f>
        <v>0.0303086322108784</v>
      </c>
      <c r="L1099" s="11" t="n">
        <f aca="false">D1099*(1+G1099)</f>
        <v>5454.00596587052</v>
      </c>
      <c r="M1099" s="14" t="n">
        <v>0</v>
      </c>
      <c r="N1099" s="4" t="n">
        <v>0.988505747126437</v>
      </c>
      <c r="O1099" s="3" t="str">
        <f aca="false">IF(AND(B1099=4,M1099=1),IF(N1099&lt;0.8,"Subgrupo 7 dias; fronteira de cluster","Subgrupo 7 dias"),IF(N1099&lt;0.8,"Fronteira de cluster",""))</f>
        <v/>
      </c>
    </row>
    <row r="1100" customFormat="false" ht="15" hidden="false" customHeight="false" outlineLevel="0" collapsed="false">
      <c r="A1100" s="14" t="n">
        <v>1099</v>
      </c>
      <c r="B1100" s="14" t="n">
        <v>0</v>
      </c>
      <c r="C1100" s="14" t="s">
        <v>29</v>
      </c>
      <c r="D1100" s="15" t="n">
        <v>7743.11198208287</v>
      </c>
      <c r="E1100" s="16" t="n">
        <f aca="false">INDEX(Parâmetros!$C$33:$C$37,MATCH(B1100,Parâmetros!$A$33:$A$37,0))</f>
        <v>5476.37033462034</v>
      </c>
      <c r="F1100" s="7" t="n">
        <f aca="false">MAX(0,(E1100-D1100)/D1100)</f>
        <v>0</v>
      </c>
      <c r="G1100" s="7" t="n">
        <f aca="false">MIN(K1100*Parâmetros!$B$19,Parâmetros!$B$8)</f>
        <v>0.0244038339849275</v>
      </c>
      <c r="H1100" s="3" t="str">
        <f aca="false">IF(F1100&gt;=Parâmetros!$B$6,"Ação","Acompanhamento")</f>
        <v>Acompanhamento</v>
      </c>
      <c r="I1100" s="17" t="n">
        <v>346.013800424629</v>
      </c>
      <c r="J1100" s="11" t="n">
        <f aca="false">D1100*I1100</f>
        <v>2679223.60403397</v>
      </c>
      <c r="K1100" s="7" t="n">
        <f aca="false">Parâmetros!$B$4+Parâmetros!$B$5*F1100</f>
        <v>0.02</v>
      </c>
      <c r="L1100" s="11" t="n">
        <f aca="false">D1100*(1+G1100)</f>
        <v>7932.07360142032</v>
      </c>
      <c r="M1100" s="14" t="n">
        <v>1</v>
      </c>
      <c r="N1100" s="4" t="n">
        <v>0.67948717948718</v>
      </c>
      <c r="O1100" s="3" t="str">
        <f aca="false">IF(AND(B1100=4,M1100=1),IF(N1100&lt;0.8,"Subgrupo 7 dias; fronteira de cluster","Subgrupo 7 dias"),IF(N1100&lt;0.8,"Fronteira de cluster",""))</f>
        <v>Fronteira de cluster</v>
      </c>
    </row>
    <row r="1101" customFormat="false" ht="15" hidden="false" customHeight="false" outlineLevel="0" collapsed="false">
      <c r="A1101" s="14" t="n">
        <v>1100</v>
      </c>
      <c r="B1101" s="14" t="n">
        <v>3</v>
      </c>
      <c r="C1101" s="14" t="s">
        <v>32</v>
      </c>
      <c r="D1101" s="15" t="n">
        <v>5419.21196358908</v>
      </c>
      <c r="E1101" s="16" t="n">
        <f aca="false">INDEX(Parâmetros!$C$33:$C$37,MATCH(B1101,Parâmetros!$A$33:$A$37,0))</f>
        <v>5909.24487179487</v>
      </c>
      <c r="F1101" s="7" t="n">
        <f aca="false">MAX(0,(E1101-D1101)/D1101)</f>
        <v>0.0904251229695862</v>
      </c>
      <c r="G1101" s="7" t="n">
        <f aca="false">MIN(K1101*Parâmetros!$B$19,Parâmetros!$B$8)</f>
        <v>0.0519878300976328</v>
      </c>
      <c r="H1101" s="3" t="str">
        <f aca="false">IF(F1101&gt;=Parâmetros!$B$6,"Ação","Acompanhamento")</f>
        <v>Acompanhamento</v>
      </c>
      <c r="I1101" s="17" t="n">
        <v>298.742038216561</v>
      </c>
      <c r="J1101" s="11" t="n">
        <f aca="false">D1101*I1101</f>
        <v>1618946.42753017</v>
      </c>
      <c r="K1101" s="7" t="n">
        <f aca="false">Parâmetros!$B$4+Parâmetros!$B$5*F1101</f>
        <v>0.0426062807423966</v>
      </c>
      <c r="L1101" s="11" t="n">
        <f aca="false">D1101*(1+G1101)</f>
        <v>5700.94503441521</v>
      </c>
      <c r="M1101" s="14" t="n">
        <v>0</v>
      </c>
      <c r="N1101" s="4" t="n">
        <v>0.91358024691358</v>
      </c>
      <c r="O1101" s="3" t="str">
        <f aca="false">IF(AND(B1101=4,M1101=1),IF(N1101&lt;0.8,"Subgrupo 7 dias; fronteira de cluster","Subgrupo 7 dias"),IF(N1101&lt;0.8,"Fronteira de cluster",""))</f>
        <v/>
      </c>
    </row>
    <row r="1102" customFormat="false" ht="15" hidden="false" customHeight="false" outlineLevel="0" collapsed="false">
      <c r="A1102" s="14" t="n">
        <v>1101</v>
      </c>
      <c r="B1102" s="14" t="n">
        <v>1</v>
      </c>
      <c r="C1102" s="14" t="s">
        <v>30</v>
      </c>
      <c r="D1102" s="15" t="n">
        <v>9972.26658163265</v>
      </c>
      <c r="E1102" s="16" t="n">
        <f aca="false">INDEX(Parâmetros!$C$33:$C$37,MATCH(B1102,Parâmetros!$A$33:$A$37,0))</f>
        <v>6959.92435130262</v>
      </c>
      <c r="F1102" s="7" t="n">
        <f aca="false">MAX(0,(E1102-D1102)/D1102)</f>
        <v>0</v>
      </c>
      <c r="G1102" s="7" t="n">
        <f aca="false">MIN(K1102*Parâmetros!$B$19,Parâmetros!$B$8)</f>
        <v>0.0244038339849275</v>
      </c>
      <c r="H1102" s="3" t="str">
        <f aca="false">IF(F1102&gt;=Parâmetros!$B$6,"Ação","Acompanhamento")</f>
        <v>Acompanhamento</v>
      </c>
      <c r="I1102" s="17" t="n">
        <v>303.779193205945</v>
      </c>
      <c r="J1102" s="11" t="n">
        <f aca="false">D1102*I1102</f>
        <v>3029367.09660297</v>
      </c>
      <c r="K1102" s="7" t="n">
        <f aca="false">Parâmetros!$B$4+Parâmetros!$B$5*F1102</f>
        <v>0.02</v>
      </c>
      <c r="L1102" s="11" t="n">
        <f aca="false">D1102*(1+G1102)</f>
        <v>10215.6281197443</v>
      </c>
      <c r="M1102" s="14" t="n">
        <v>0</v>
      </c>
      <c r="N1102" s="4" t="n">
        <v>1</v>
      </c>
      <c r="O1102" s="3" t="str">
        <f aca="false">IF(AND(B1102=4,M1102=1),IF(N1102&lt;0.8,"Subgrupo 7 dias; fronteira de cluster","Subgrupo 7 dias"),IF(N1102&lt;0.8,"Fronteira de cluster",""))</f>
        <v/>
      </c>
    </row>
    <row r="1103" customFormat="false" ht="15" hidden="false" customHeight="false" outlineLevel="0" collapsed="false">
      <c r="A1103" s="14" t="n">
        <v>1102</v>
      </c>
      <c r="B1103" s="14" t="n">
        <v>4</v>
      </c>
      <c r="C1103" s="14" t="s">
        <v>33</v>
      </c>
      <c r="D1103" s="15" t="n">
        <v>6999.98874598071</v>
      </c>
      <c r="E1103" s="16" t="n">
        <f aca="false">INDEX(Parâmetros!$C$33:$C$37,MATCH(B1103,Parâmetros!$A$33:$A$37,0))</f>
        <v>8837.10512820513</v>
      </c>
      <c r="F1103" s="7" t="n">
        <f aca="false">MAX(0,(E1103-D1103)/D1103)</f>
        <v>0.262445619398926</v>
      </c>
      <c r="G1103" s="7" t="n">
        <f aca="false">MIN(K1103*Parâmetros!$B$19,Parâmetros!$B$8)</f>
        <v>0.104462325558463</v>
      </c>
      <c r="H1103" s="3" t="str">
        <f aca="false">IF(F1103&gt;=Parâmetros!$B$6,"Ação","Acompanhamento")</f>
        <v>Ação</v>
      </c>
      <c r="I1103" s="17" t="n">
        <v>299.511873350924</v>
      </c>
      <c r="J1103" s="11" t="n">
        <f aca="false">D1103*I1103</f>
        <v>2096579.74274406</v>
      </c>
      <c r="K1103" s="7" t="n">
        <f aca="false">Parâmetros!$B$4+Parâmetros!$B$5*F1103</f>
        <v>0.0856114048497316</v>
      </c>
      <c r="L1103" s="11" t="n">
        <f aca="false">D1103*(1+G1103)</f>
        <v>7731.22384926892</v>
      </c>
      <c r="M1103" s="14" t="n">
        <v>0</v>
      </c>
      <c r="N1103" s="4" t="n">
        <v>1</v>
      </c>
      <c r="O1103" s="3" t="str">
        <f aca="false">IF(AND(B1103=4,M1103=1),IF(N1103&lt;0.8,"Subgrupo 7 dias; fronteira de cluster","Subgrupo 7 dias"),IF(N1103&lt;0.8,"Fronteira de cluster",""))</f>
        <v/>
      </c>
    </row>
    <row r="1104" customFormat="false" ht="15" hidden="false" customHeight="false" outlineLevel="0" collapsed="false">
      <c r="A1104" s="14" t="n">
        <v>1103</v>
      </c>
      <c r="B1104" s="14" t="n">
        <v>1</v>
      </c>
      <c r="C1104" s="14" t="s">
        <v>30</v>
      </c>
      <c r="D1104" s="15" t="n">
        <v>5019.54417413572</v>
      </c>
      <c r="E1104" s="16" t="n">
        <f aca="false">INDEX(Parâmetros!$C$33:$C$37,MATCH(B1104,Parâmetros!$A$33:$A$37,0))</f>
        <v>6959.92435130262</v>
      </c>
      <c r="F1104" s="7" t="n">
        <f aca="false">MAX(0,(E1104-D1104)/D1104)</f>
        <v>0.386565016633407</v>
      </c>
      <c r="G1104" s="7" t="n">
        <f aca="false">MIN(K1104*Parâmetros!$B$19,Parâmetros!$B$8)</f>
        <v>0.142324690113707</v>
      </c>
      <c r="H1104" s="3" t="str">
        <f aca="false">IF(F1104&gt;=Parâmetros!$B$6,"Ação","Acompanhamento")</f>
        <v>Ação</v>
      </c>
      <c r="I1104" s="17" t="n">
        <v>302.616772823779</v>
      </c>
      <c r="J1104" s="11" t="n">
        <f aca="false">D1104*I1104</f>
        <v>1518998.25902335</v>
      </c>
      <c r="K1104" s="7" t="n">
        <f aca="false">Parâmetros!$B$4+Parâmetros!$B$5*F1104</f>
        <v>0.116641254158352</v>
      </c>
      <c r="L1104" s="11" t="n">
        <f aca="false">D1104*(1+G1104)</f>
        <v>5733.94924323166</v>
      </c>
      <c r="M1104" s="14" t="n">
        <v>0</v>
      </c>
      <c r="N1104" s="4" t="n">
        <v>1</v>
      </c>
      <c r="O1104" s="3" t="str">
        <f aca="false">IF(AND(B1104=4,M1104=1),IF(N1104&lt;0.8,"Subgrupo 7 dias; fronteira de cluster","Subgrupo 7 dias"),IF(N1104&lt;0.8,"Fronteira de cluster",""))</f>
        <v/>
      </c>
    </row>
    <row r="1105" customFormat="false" ht="15" hidden="false" customHeight="false" outlineLevel="0" collapsed="false">
      <c r="A1105" s="14" t="n">
        <v>1104</v>
      </c>
      <c r="B1105" s="14" t="n">
        <v>1</v>
      </c>
      <c r="C1105" s="14" t="s">
        <v>30</v>
      </c>
      <c r="D1105" s="15" t="n">
        <v>5461.43408360129</v>
      </c>
      <c r="E1105" s="16" t="n">
        <f aca="false">INDEX(Parâmetros!$C$33:$C$37,MATCH(B1105,Parâmetros!$A$33:$A$37,0))</f>
        <v>6959.92435130262</v>
      </c>
      <c r="F1105" s="7" t="n">
        <f aca="false">MAX(0,(E1105-D1105)/D1105)</f>
        <v>0.274376701203949</v>
      </c>
      <c r="G1105" s="7" t="n">
        <f aca="false">MIN(K1105*Parâmetros!$B$19,Parâmetros!$B$8)</f>
        <v>0.108101877303843</v>
      </c>
      <c r="H1105" s="3" t="str">
        <f aca="false">IF(F1105&gt;=Parâmetros!$B$6,"Ação","Acompanhamento")</f>
        <v>Ação</v>
      </c>
      <c r="I1105" s="17" t="n">
        <v>299.511873350924</v>
      </c>
      <c r="J1105" s="11" t="n">
        <f aca="false">D1105*I1105</f>
        <v>1635764.35356201</v>
      </c>
      <c r="K1105" s="7" t="n">
        <f aca="false">Parâmetros!$B$4+Parâmetros!$B$5*F1105</f>
        <v>0.0885941753009873</v>
      </c>
      <c r="L1105" s="11" t="n">
        <f aca="false">D1105*(1+G1105)</f>
        <v>6051.82536080978</v>
      </c>
      <c r="M1105" s="14" t="n">
        <v>0</v>
      </c>
      <c r="N1105" s="4" t="n">
        <v>0.9875</v>
      </c>
      <c r="O1105" s="3" t="str">
        <f aca="false">IF(AND(B1105=4,M1105=1),IF(N1105&lt;0.8,"Subgrupo 7 dias; fronteira de cluster","Subgrupo 7 dias"),IF(N1105&lt;0.8,"Fronteira de cluster",""))</f>
        <v/>
      </c>
    </row>
    <row r="1106" customFormat="false" ht="15" hidden="false" customHeight="false" outlineLevel="0" collapsed="false">
      <c r="A1106" s="14" t="n">
        <v>1105</v>
      </c>
      <c r="B1106" s="14" t="n">
        <v>0</v>
      </c>
      <c r="C1106" s="14" t="s">
        <v>29</v>
      </c>
      <c r="D1106" s="15" t="n">
        <v>4564.57252888318</v>
      </c>
      <c r="E1106" s="16" t="n">
        <f aca="false">INDEX(Parâmetros!$C$33:$C$37,MATCH(B1106,Parâmetros!$A$33:$A$37,0))</f>
        <v>5476.37033462034</v>
      </c>
      <c r="F1106" s="7" t="n">
        <f aca="false">MAX(0,(E1106-D1106)/D1106)</f>
        <v>0.199755354957683</v>
      </c>
      <c r="G1106" s="7" t="n">
        <f aca="false">MIN(K1106*Parâmetros!$B$19,Parâmetros!$B$8)</f>
        <v>0.085338790484772</v>
      </c>
      <c r="H1106" s="3" t="str">
        <f aca="false">IF(F1106&gt;=Parâmetros!$B$6,"Ação","Acompanhamento")</f>
        <v>Ação</v>
      </c>
      <c r="I1106" s="17" t="n">
        <v>301.841825902336</v>
      </c>
      <c r="J1106" s="11" t="n">
        <f aca="false">D1106*I1106</f>
        <v>1377778.90658174</v>
      </c>
      <c r="K1106" s="7" t="n">
        <f aca="false">Parâmetros!$B$4+Parâmetros!$B$5*F1106</f>
        <v>0.0699388387394209</v>
      </c>
      <c r="L1106" s="11" t="n">
        <f aca="false">D1106*(1+G1106)</f>
        <v>4954.10762757809</v>
      </c>
      <c r="M1106" s="14" t="n">
        <v>0</v>
      </c>
      <c r="N1106" s="4" t="n">
        <v>0.988095238095238</v>
      </c>
      <c r="O1106" s="3" t="str">
        <f aca="false">IF(AND(B1106=4,M1106=1),IF(N1106&lt;0.8,"Subgrupo 7 dias; fronteira de cluster","Subgrupo 7 dias"),IF(N1106&lt;0.8,"Fronteira de cluster",""))</f>
        <v/>
      </c>
    </row>
    <row r="1107" customFormat="false" ht="15" hidden="false" customHeight="false" outlineLevel="0" collapsed="false">
      <c r="A1107" s="14" t="n">
        <v>1106</v>
      </c>
      <c r="B1107" s="14" t="n">
        <v>0</v>
      </c>
      <c r="C1107" s="14" t="s">
        <v>29</v>
      </c>
      <c r="D1107" s="15" t="n">
        <v>4894.09566326531</v>
      </c>
      <c r="E1107" s="16" t="n">
        <f aca="false">INDEX(Parâmetros!$C$33:$C$37,MATCH(B1107,Parâmetros!$A$33:$A$37,0))</f>
        <v>5476.37033462034</v>
      </c>
      <c r="F1107" s="7" t="n">
        <f aca="false">MAX(0,(E1107-D1107)/D1107)</f>
        <v>0.118974926404798</v>
      </c>
      <c r="G1107" s="7" t="n">
        <f aca="false">MIN(K1107*Parâmetros!$B$19,Parâmetros!$B$8)</f>
        <v>0.060696888389323</v>
      </c>
      <c r="H1107" s="3" t="str">
        <f aca="false">IF(F1107&gt;=Parâmetros!$B$6,"Ação","Acompanhamento")</f>
        <v>Ação</v>
      </c>
      <c r="I1107" s="17" t="n">
        <v>303.779193205945</v>
      </c>
      <c r="J1107" s="11" t="n">
        <f aca="false">D1107*I1107</f>
        <v>1486724.43205945</v>
      </c>
      <c r="K1107" s="7" t="n">
        <f aca="false">Parâmetros!$B$4+Parâmetros!$B$5*F1107</f>
        <v>0.0497437316011994</v>
      </c>
      <c r="L1107" s="11" t="n">
        <f aca="false">D1107*(1+G1107)</f>
        <v>5191.15204150519</v>
      </c>
      <c r="M1107" s="14" t="n">
        <v>0</v>
      </c>
      <c r="N1107" s="4" t="n">
        <v>0.909090909090909</v>
      </c>
      <c r="O1107" s="3" t="str">
        <f aca="false">IF(AND(B1107=4,M1107=1),IF(N1107&lt;0.8,"Subgrupo 7 dias; fronteira de cluster","Subgrupo 7 dias"),IF(N1107&lt;0.8,"Fronteira de cluster",""))</f>
        <v/>
      </c>
    </row>
    <row r="1108" customFormat="false" ht="15" hidden="false" customHeight="false" outlineLevel="0" collapsed="false">
      <c r="A1108" s="14" t="n">
        <v>1107</v>
      </c>
      <c r="B1108" s="14" t="n">
        <v>3</v>
      </c>
      <c r="C1108" s="14" t="s">
        <v>32</v>
      </c>
      <c r="D1108" s="15" t="n">
        <v>6231.72070626003</v>
      </c>
      <c r="E1108" s="16" t="n">
        <f aca="false">INDEX(Parâmetros!$C$33:$C$37,MATCH(B1108,Parâmetros!$A$33:$A$37,0))</f>
        <v>5909.24487179487</v>
      </c>
      <c r="F1108" s="7" t="n">
        <f aca="false">MAX(0,(E1108-D1108)/D1108)</f>
        <v>0</v>
      </c>
      <c r="G1108" s="7" t="n">
        <f aca="false">MIN(K1108*Parâmetros!$B$19,Parâmetros!$B$8)</f>
        <v>0.0244038339849275</v>
      </c>
      <c r="H1108" s="3" t="str">
        <f aca="false">IF(F1108&gt;=Parâmetros!$B$6,"Ação","Acompanhamento")</f>
        <v>Acompanhamento</v>
      </c>
      <c r="I1108" s="17" t="n">
        <v>299.993403693931</v>
      </c>
      <c r="J1108" s="11" t="n">
        <f aca="false">D1108*I1108</f>
        <v>1869475.1055409</v>
      </c>
      <c r="K1108" s="7" t="n">
        <f aca="false">Parâmetros!$B$4+Parâmetros!$B$5*F1108</f>
        <v>0.02</v>
      </c>
      <c r="L1108" s="11" t="n">
        <f aca="false">D1108*(1+G1108)</f>
        <v>6383.79858381604</v>
      </c>
      <c r="M1108" s="14" t="n">
        <v>0</v>
      </c>
      <c r="N1108" s="4" t="n">
        <v>0.738095238095238</v>
      </c>
      <c r="O1108" s="3" t="str">
        <f aca="false">IF(AND(B1108=4,M1108=1),IF(N1108&lt;0.8,"Subgrupo 7 dias; fronteira de cluster","Subgrupo 7 dias"),IF(N1108&lt;0.8,"Fronteira de cluster",""))</f>
        <v>Fronteira de cluster</v>
      </c>
    </row>
    <row r="1109" customFormat="false" ht="15" hidden="false" customHeight="false" outlineLevel="0" collapsed="false">
      <c r="A1109" s="14" t="n">
        <v>1108</v>
      </c>
      <c r="B1109" s="14" t="n">
        <v>3</v>
      </c>
      <c r="C1109" s="14" t="s">
        <v>32</v>
      </c>
      <c r="D1109" s="15" t="n">
        <v>5746.9217948718</v>
      </c>
      <c r="E1109" s="16" t="n">
        <f aca="false">INDEX(Parâmetros!$C$33:$C$37,MATCH(B1109,Parâmetros!$A$33:$A$37,0))</f>
        <v>5909.24487179487</v>
      </c>
      <c r="F1109" s="7" t="n">
        <f aca="false">MAX(0,(E1109-D1109)/D1109)</f>
        <v>0.0282452211317586</v>
      </c>
      <c r="G1109" s="7" t="n">
        <f aca="false">MIN(K1109*Parâmetros!$B$19,Parâmetros!$B$8)</f>
        <v>0.033019980077015</v>
      </c>
      <c r="H1109" s="3" t="str">
        <f aca="false">IF(F1109&gt;=Parâmetros!$B$6,"Ação","Acompanhamento")</f>
        <v>Acompanhamento</v>
      </c>
      <c r="I1109" s="17" t="n">
        <v>302.229299363057</v>
      </c>
      <c r="J1109" s="11" t="n">
        <f aca="false">D1109*I1109</f>
        <v>1736888.14755839</v>
      </c>
      <c r="K1109" s="7" t="n">
        <f aca="false">Parâmetros!$B$4+Parâmetros!$B$5*F1109</f>
        <v>0.0270613052829396</v>
      </c>
      <c r="L1109" s="11" t="n">
        <f aca="false">D1109*(1+G1109)</f>
        <v>5936.68503804263</v>
      </c>
      <c r="M1109" s="14" t="n">
        <v>0</v>
      </c>
      <c r="N1109" s="4" t="n">
        <v>1</v>
      </c>
      <c r="O1109" s="3" t="str">
        <f aca="false">IF(AND(B1109=4,M1109=1),IF(N1109&lt;0.8,"Subgrupo 7 dias; fronteira de cluster","Subgrupo 7 dias"),IF(N1109&lt;0.8,"Fronteira de cluster",""))</f>
        <v/>
      </c>
    </row>
    <row r="1110" customFormat="false" ht="15" hidden="false" customHeight="false" outlineLevel="0" collapsed="false">
      <c r="A1110" s="14" t="n">
        <v>1109</v>
      </c>
      <c r="B1110" s="14" t="n">
        <v>1</v>
      </c>
      <c r="C1110" s="14" t="s">
        <v>30</v>
      </c>
      <c r="D1110" s="15" t="n">
        <v>4927.20418006431</v>
      </c>
      <c r="E1110" s="16" t="n">
        <f aca="false">INDEX(Parâmetros!$C$33:$C$37,MATCH(B1110,Parâmetros!$A$33:$A$37,0))</f>
        <v>6959.92435130262</v>
      </c>
      <c r="F1110" s="7" t="n">
        <f aca="false">MAX(0,(E1110-D1110)/D1110)</f>
        <v>0.412550423516604</v>
      </c>
      <c r="G1110" s="7" t="n">
        <f aca="false">MIN(K1110*Parâmetros!$B$19,Parâmetros!$B$8)</f>
        <v>0.150251484558811</v>
      </c>
      <c r="H1110" s="3" t="str">
        <f aca="false">IF(F1110&gt;=Parâmetros!$B$6,"Ação","Acompanhamento")</f>
        <v>Ação</v>
      </c>
      <c r="I1110" s="17" t="n">
        <v>299.511873350924</v>
      </c>
      <c r="J1110" s="11" t="n">
        <f aca="false">D1110*I1110</f>
        <v>1475756.15435356</v>
      </c>
      <c r="K1110" s="7" t="n">
        <f aca="false">Parâmetros!$B$4+Parâmetros!$B$5*F1110</f>
        <v>0.123137605879151</v>
      </c>
      <c r="L1110" s="11" t="n">
        <f aca="false">D1110*(1+G1110)</f>
        <v>5667.52392284335</v>
      </c>
      <c r="M1110" s="14" t="n">
        <v>0</v>
      </c>
      <c r="N1110" s="4" t="n">
        <v>0.697674418604651</v>
      </c>
      <c r="O1110" s="3" t="str">
        <f aca="false">IF(AND(B1110=4,M1110=1),IF(N1110&lt;0.8,"Subgrupo 7 dias; fronteira de cluster","Subgrupo 7 dias"),IF(N1110&lt;0.8,"Fronteira de cluster",""))</f>
        <v>Fronteira de cluster</v>
      </c>
    </row>
    <row r="1111" customFormat="false" ht="15" hidden="false" customHeight="false" outlineLevel="0" collapsed="false">
      <c r="A1111" s="14" t="n">
        <v>1110</v>
      </c>
      <c r="B1111" s="14" t="n">
        <v>0</v>
      </c>
      <c r="C1111" s="14" t="s">
        <v>29</v>
      </c>
      <c r="D1111" s="15" t="n">
        <v>4531.91060025543</v>
      </c>
      <c r="E1111" s="16" t="n">
        <f aca="false">INDEX(Parâmetros!$C$33:$C$37,MATCH(B1111,Parâmetros!$A$33:$A$37,0))</f>
        <v>5476.37033462034</v>
      </c>
      <c r="F1111" s="7" t="n">
        <f aca="false">MAX(0,(E1111-D1111)/D1111)</f>
        <v>0.208402110648801</v>
      </c>
      <c r="G1111" s="7" t="n">
        <f aca="false">MIN(K1111*Parâmetros!$B$19,Parâmetros!$B$8)</f>
        <v>0.0879764653647003</v>
      </c>
      <c r="H1111" s="3" t="str">
        <f aca="false">IF(F1111&gt;=Parâmetros!$B$6,"Ação","Acompanhamento")</f>
        <v>Ação</v>
      </c>
      <c r="I1111" s="17" t="n">
        <v>303.391719745223</v>
      </c>
      <c r="J1111" s="11" t="n">
        <f aca="false">D1111*I1111</f>
        <v>1374944.1507431</v>
      </c>
      <c r="K1111" s="7" t="n">
        <f aca="false">Parâmetros!$B$4+Parâmetros!$B$5*F1111</f>
        <v>0.0721005276622003</v>
      </c>
      <c r="L1111" s="11" t="n">
        <f aca="false">D1111*(1+G1111)</f>
        <v>4930.61207621472</v>
      </c>
      <c r="M1111" s="14" t="n">
        <v>0</v>
      </c>
      <c r="N1111" s="4" t="n">
        <v>0.974683544303797</v>
      </c>
      <c r="O1111" s="3" t="str">
        <f aca="false">IF(AND(B1111=4,M1111=1),IF(N1111&lt;0.8,"Subgrupo 7 dias; fronteira de cluster","Subgrupo 7 dias"),IF(N1111&lt;0.8,"Fronteira de cluster",""))</f>
        <v/>
      </c>
    </row>
    <row r="1112" customFormat="false" ht="15" hidden="false" customHeight="false" outlineLevel="0" collapsed="false">
      <c r="A1112" s="14" t="n">
        <v>1111</v>
      </c>
      <c r="B1112" s="14" t="n">
        <v>3</v>
      </c>
      <c r="C1112" s="14" t="s">
        <v>32</v>
      </c>
      <c r="D1112" s="15" t="n">
        <v>5251.70218228498</v>
      </c>
      <c r="E1112" s="16" t="n">
        <f aca="false">INDEX(Parâmetros!$C$33:$C$37,MATCH(B1112,Parâmetros!$A$33:$A$37,0))</f>
        <v>5909.24487179487</v>
      </c>
      <c r="F1112" s="7" t="n">
        <f aca="false">MAX(0,(E1112-D1112)/D1112)</f>
        <v>0.125205631752675</v>
      </c>
      <c r="G1112" s="7" t="n">
        <f aca="false">MIN(K1112*Parâmetros!$B$19,Parâmetros!$B$8)</f>
        <v>0.0625975521258053</v>
      </c>
      <c r="H1112" s="3" t="str">
        <f aca="false">IF(F1112&gt;=Parâmetros!$B$6,"Ação","Acompanhamento")</f>
        <v>Ação</v>
      </c>
      <c r="I1112" s="17" t="n">
        <v>301.841825902336</v>
      </c>
      <c r="J1112" s="11" t="n">
        <f aca="false">D1112*I1112</f>
        <v>1585183.37579618</v>
      </c>
      <c r="K1112" s="7" t="n">
        <f aca="false">Parâmetros!$B$4+Parâmetros!$B$5*F1112</f>
        <v>0.0513014079381687</v>
      </c>
      <c r="L1112" s="11" t="n">
        <f aca="false">D1112*(1+G1112)</f>
        <v>5580.44588338977</v>
      </c>
      <c r="M1112" s="14" t="n">
        <v>0</v>
      </c>
      <c r="N1112" s="4" t="n">
        <v>0.847058823529412</v>
      </c>
      <c r="O1112" s="3" t="str">
        <f aca="false">IF(AND(B1112=4,M1112=1),IF(N1112&lt;0.8,"Subgrupo 7 dias; fronteira de cluster","Subgrupo 7 dias"),IF(N1112&lt;0.8,"Fronteira de cluster",""))</f>
        <v/>
      </c>
    </row>
    <row r="1113" customFormat="false" ht="15" hidden="false" customHeight="false" outlineLevel="0" collapsed="false">
      <c r="A1113" s="14" t="n">
        <v>1112</v>
      </c>
      <c r="B1113" s="14" t="n">
        <v>3</v>
      </c>
      <c r="C1113" s="14" t="s">
        <v>32</v>
      </c>
      <c r="D1113" s="15" t="n">
        <v>10236.5776636714</v>
      </c>
      <c r="E1113" s="16" t="n">
        <f aca="false">INDEX(Parâmetros!$C$33:$C$37,MATCH(B1113,Parâmetros!$A$33:$A$37,0))</f>
        <v>5909.24487179487</v>
      </c>
      <c r="F1113" s="7" t="n">
        <f aca="false">MAX(0,(E1113-D1113)/D1113)</f>
        <v>0</v>
      </c>
      <c r="G1113" s="7" t="n">
        <f aca="false">MIN(K1113*Parâmetros!$B$19,Parâmetros!$B$8)</f>
        <v>0.0244038339849275</v>
      </c>
      <c r="H1113" s="3" t="str">
        <f aca="false">IF(F1113&gt;=Parâmetros!$B$6,"Ação","Acompanhamento")</f>
        <v>Acompanhamento</v>
      </c>
      <c r="I1113" s="17" t="n">
        <v>301.841825902336</v>
      </c>
      <c r="J1113" s="11" t="n">
        <f aca="false">D1113*I1113</f>
        <v>3089827.29299363</v>
      </c>
      <c r="K1113" s="7" t="n">
        <f aca="false">Parâmetros!$B$4+Parâmetros!$B$5*F1113</f>
        <v>0.02</v>
      </c>
      <c r="L1113" s="11" t="n">
        <f aca="false">D1113*(1+G1113)</f>
        <v>10486.3894055494</v>
      </c>
      <c r="M1113" s="14" t="n">
        <v>0</v>
      </c>
      <c r="N1113" s="4" t="n">
        <v>0.61038961038961</v>
      </c>
      <c r="O1113" s="3" t="str">
        <f aca="false">IF(AND(B1113=4,M1113=1),IF(N1113&lt;0.8,"Subgrupo 7 dias; fronteira de cluster","Subgrupo 7 dias"),IF(N1113&lt;0.8,"Fronteira de cluster",""))</f>
        <v>Fronteira de cluster</v>
      </c>
    </row>
    <row r="1114" customFormat="false" ht="15" hidden="false" customHeight="false" outlineLevel="0" collapsed="false">
      <c r="A1114" s="14" t="n">
        <v>1113</v>
      </c>
      <c r="B1114" s="14" t="n">
        <v>1</v>
      </c>
      <c r="C1114" s="14" t="s">
        <v>30</v>
      </c>
      <c r="D1114" s="15" t="n">
        <v>6627.85969387755</v>
      </c>
      <c r="E1114" s="16" t="n">
        <f aca="false">INDEX(Parâmetros!$C$33:$C$37,MATCH(B1114,Parâmetros!$A$33:$A$37,0))</f>
        <v>6959.92435130262</v>
      </c>
      <c r="F1114" s="7" t="n">
        <f aca="false">MAX(0,(E1114-D1114)/D1114)</f>
        <v>0.0501013408192411</v>
      </c>
      <c r="G1114" s="7" t="n">
        <f aca="false">MIN(K1114*Parâmetros!$B$19,Parâmetros!$B$8)</f>
        <v>0.0396871440321153</v>
      </c>
      <c r="H1114" s="3" t="str">
        <f aca="false">IF(F1114&gt;=Parâmetros!$B$6,"Ação","Acompanhamento")</f>
        <v>Acompanhamento</v>
      </c>
      <c r="I1114" s="17" t="n">
        <v>303.779193205945</v>
      </c>
      <c r="J1114" s="11" t="n">
        <f aca="false">D1114*I1114</f>
        <v>2013405.87048832</v>
      </c>
      <c r="K1114" s="7" t="n">
        <f aca="false">Parâmetros!$B$4+Parâmetros!$B$5*F1114</f>
        <v>0.0325253352048103</v>
      </c>
      <c r="L1114" s="11" t="n">
        <f aca="false">D1114*(1+G1114)</f>
        <v>6890.90051617312</v>
      </c>
      <c r="M1114" s="14" t="n">
        <v>0</v>
      </c>
      <c r="N1114" s="4" t="n">
        <v>0.973684210526316</v>
      </c>
      <c r="O1114" s="3" t="str">
        <f aca="false">IF(AND(B1114=4,M1114=1),IF(N1114&lt;0.8,"Subgrupo 7 dias; fronteira de cluster","Subgrupo 7 dias"),IF(N1114&lt;0.8,"Fronteira de cluster",""))</f>
        <v/>
      </c>
    </row>
    <row r="1115" customFormat="false" ht="15" hidden="false" customHeight="false" outlineLevel="0" collapsed="false">
      <c r="A1115" s="14" t="n">
        <v>1114</v>
      </c>
      <c r="B1115" s="14" t="n">
        <v>4</v>
      </c>
      <c r="C1115" s="14" t="s">
        <v>33</v>
      </c>
      <c r="D1115" s="15" t="n">
        <v>20666.5625</v>
      </c>
      <c r="E1115" s="16" t="n">
        <f aca="false">INDEX(Parâmetros!$C$33:$C$37,MATCH(B1115,Parâmetros!$A$33:$A$37,0))</f>
        <v>8837.10512820513</v>
      </c>
      <c r="F1115" s="7" t="n">
        <f aca="false">MAX(0,(E1115-D1115)/D1115)</f>
        <v>0</v>
      </c>
      <c r="G1115" s="7" t="n">
        <f aca="false">MIN(K1115*Parâmetros!$B$19,Parâmetros!$B$8)</f>
        <v>0.0244038339849275</v>
      </c>
      <c r="H1115" s="3" t="str">
        <f aca="false">IF(F1115&gt;=Parâmetros!$B$6,"Ação","Acompanhamento")</f>
        <v>Acompanhamento</v>
      </c>
      <c r="I1115" s="17" t="n">
        <v>303.779193205945</v>
      </c>
      <c r="J1115" s="11" t="n">
        <f aca="false">D1115*I1115</f>
        <v>6278071.68259023</v>
      </c>
      <c r="K1115" s="7" t="n">
        <f aca="false">Parâmetros!$B$4+Parâmetros!$B$5*F1115</f>
        <v>0.02</v>
      </c>
      <c r="L1115" s="11" t="n">
        <f aca="false">D1115*(1+G1115)</f>
        <v>21170.9058602891</v>
      </c>
      <c r="M1115" s="14" t="n">
        <v>0</v>
      </c>
      <c r="N1115" s="4" t="n">
        <v>1</v>
      </c>
      <c r="O1115" s="3" t="str">
        <f aca="false">IF(AND(B1115=4,M1115=1),IF(N1115&lt;0.8,"Subgrupo 7 dias; fronteira de cluster","Subgrupo 7 dias"),IF(N1115&lt;0.8,"Fronteira de cluster",""))</f>
        <v/>
      </c>
    </row>
    <row r="1116" customFormat="false" ht="15" hidden="false" customHeight="false" outlineLevel="0" collapsed="false">
      <c r="A1116" s="14" t="n">
        <v>1115</v>
      </c>
      <c r="B1116" s="14" t="n">
        <v>1</v>
      </c>
      <c r="C1116" s="14" t="s">
        <v>30</v>
      </c>
      <c r="D1116" s="15" t="n">
        <v>6302.46991037132</v>
      </c>
      <c r="E1116" s="16" t="n">
        <f aca="false">INDEX(Parâmetros!$C$33:$C$37,MATCH(B1116,Parâmetros!$A$33:$A$37,0))</f>
        <v>6959.92435130262</v>
      </c>
      <c r="F1116" s="7" t="n">
        <f aca="false">MAX(0,(E1116-D1116)/D1116)</f>
        <v>0.104316950383118</v>
      </c>
      <c r="G1116" s="7" t="n">
        <f aca="false">MIN(K1116*Parâmetros!$B$19,Parâmetros!$B$8)</f>
        <v>0.0562255032219717</v>
      </c>
      <c r="H1116" s="3" t="str">
        <f aca="false">IF(F1116&gt;=Parâmetros!$B$6,"Ação","Acompanhamento")</f>
        <v>Ação</v>
      </c>
      <c r="I1116" s="17" t="n">
        <v>302.616772823779</v>
      </c>
      <c r="J1116" s="11" t="n">
        <f aca="false">D1116*I1116</f>
        <v>1907233.10509554</v>
      </c>
      <c r="K1116" s="7" t="n">
        <f aca="false">Parâmetros!$B$4+Parâmetros!$B$5*F1116</f>
        <v>0.0460792375957796</v>
      </c>
      <c r="L1116" s="11" t="n">
        <f aca="false">D1116*(1+G1116)</f>
        <v>6656.82945262328</v>
      </c>
      <c r="M1116" s="14" t="n">
        <v>0</v>
      </c>
      <c r="N1116" s="4" t="n">
        <v>1</v>
      </c>
      <c r="O1116" s="3" t="str">
        <f aca="false">IF(AND(B1116=4,M1116=1),IF(N1116&lt;0.8,"Subgrupo 7 dias; fronteira de cluster","Subgrupo 7 dias"),IF(N1116&lt;0.8,"Fronteira de cluster",""))</f>
        <v/>
      </c>
    </row>
  </sheetData>
  <autoFilter ref="A1:O11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1" t="s">
        <v>46</v>
      </c>
    </row>
    <row r="3" customFormat="false" ht="23.85" hidden="false" customHeight="false" outlineLevel="0" collapsed="false">
      <c r="A3" s="18" t="s">
        <v>26</v>
      </c>
      <c r="B3" s="18" t="s">
        <v>27</v>
      </c>
      <c r="C3" s="18" t="s">
        <v>47</v>
      </c>
      <c r="D3" s="18" t="s">
        <v>48</v>
      </c>
      <c r="E3" s="18" t="s">
        <v>49</v>
      </c>
      <c r="F3" s="18" t="s">
        <v>50</v>
      </c>
      <c r="G3" s="18" t="s">
        <v>51</v>
      </c>
      <c r="H3" s="18" t="s">
        <v>52</v>
      </c>
      <c r="I3" s="18" t="s">
        <v>40</v>
      </c>
    </row>
    <row r="4" customFormat="false" ht="15" hidden="false" customHeight="false" outlineLevel="0" collapsed="false">
      <c r="A4" s="19" t="n">
        <f aca="false">Parâmetros!A33</f>
        <v>0</v>
      </c>
      <c r="B4" s="19" t="str">
        <f aca="false">Parâmetros!B33</f>
        <v>Bairro competitivo de cesta pequena</v>
      </c>
      <c r="C4" s="19" t="n">
        <f aca="false">COUNTIF('Metas por Loja'!$B$2:$B$1116,A4)</f>
        <v>292</v>
      </c>
      <c r="D4" s="19" t="n">
        <f aca="false">COUNTIFS('Metas por Loja'!$B$2:$B$1116,A4,'Metas por Loja'!$H$2:$H$1116,"Ação")</f>
        <v>106</v>
      </c>
      <c r="E4" s="20" t="n">
        <f aca="false">Parâmetros!C33</f>
        <v>5476.37033462034</v>
      </c>
      <c r="F4" s="21" t="n">
        <f aca="false">AVERAGEIF('Metas por Loja'!$B$2:$B$1116,A4,'Metas por Loja'!$G$2:$G$1116)</f>
        <v>0.058575146214393</v>
      </c>
      <c r="G4" s="21" t="n">
        <f aca="false" t="array" ref="G4:G4">MAX(IF('Metas por Loja'!$B$2:$B$1116=A4,'Metas por Loja'!$G$2:$G$1116))</f>
        <v>0.2</v>
      </c>
      <c r="H4" s="21" t="n">
        <f aca="false">SUMPRODUCT(('Metas por Loja'!$B$2:$B$1116=A4)*'Metas por Loja'!$J$2:$J$1116*'Metas por Loja'!$G$2:$G$1116)/I4</f>
        <v>0.0486673343574762</v>
      </c>
      <c r="I4" s="20" t="n">
        <f aca="false">SUMIF('Metas por Loja'!$B$2:$B$1116,A4,'Metas por Loja'!$J$2:$J$1116)</f>
        <v>504984637.813761</v>
      </c>
    </row>
    <row r="5" customFormat="false" ht="15" hidden="false" customHeight="false" outlineLevel="0" collapsed="false">
      <c r="A5" s="19" t="n">
        <f aca="false">Parâmetros!A34</f>
        <v>1</v>
      </c>
      <c r="B5" s="19" t="str">
        <f aca="false">Parâmetros!B34</f>
        <v>Destino de cesta grande</v>
      </c>
      <c r="C5" s="19" t="n">
        <f aca="false">COUNTIF('Metas por Loja'!$B$2:$B$1116,A5)</f>
        <v>414</v>
      </c>
      <c r="D5" s="19" t="n">
        <f aca="false">COUNTIFS('Metas por Loja'!$B$2:$B$1116,A5,'Metas por Loja'!$H$2:$H$1116,"Ação")</f>
        <v>152</v>
      </c>
      <c r="E5" s="20" t="n">
        <f aca="false">Parâmetros!C34</f>
        <v>6959.92435130262</v>
      </c>
      <c r="F5" s="21" t="n">
        <f aca="false">AVERAGEIF('Metas por Loja'!$B$2:$B$1116,A5,'Metas por Loja'!$G$2:$G$1116)</f>
        <v>0.05833840012428</v>
      </c>
      <c r="G5" s="21" t="n">
        <f aca="false" t="array" ref="G5:G5">MAX(IF('Metas por Loja'!$B$2:$B$1116=A5,'Metas por Loja'!$G$2:$G$1116))</f>
        <v>0.2</v>
      </c>
      <c r="H5" s="21" t="n">
        <f aca="false">SUMPRODUCT(('Metas por Loja'!$B$2:$B$1116=A5)*'Metas por Loja'!$J$2:$J$1116*'Metas por Loja'!$G$2:$G$1116)/I5</f>
        <v>0.0493407215401521</v>
      </c>
      <c r="I5" s="20" t="n">
        <f aca="false">SUMIF('Metas por Loja'!$B$2:$B$1116,A5,'Metas por Loja'!$J$2:$J$1116)</f>
        <v>884571446.198982</v>
      </c>
    </row>
    <row r="6" customFormat="false" ht="15" hidden="false" customHeight="false" outlineLevel="0" collapsed="false">
      <c r="A6" s="19" t="n">
        <f aca="false">Parâmetros!A35</f>
        <v>2</v>
      </c>
      <c r="B6" s="19" t="str">
        <f aca="false">Parâmetros!B35</f>
        <v>Sazonal</v>
      </c>
      <c r="C6" s="19" t="n">
        <f aca="false">COUNTIF('Metas por Loja'!$B$2:$B$1116,A6)</f>
        <v>65</v>
      </c>
      <c r="D6" s="19" t="n">
        <f aca="false">COUNTIFS('Metas por Loja'!$B$2:$B$1116,A6,'Metas por Loja'!$H$2:$H$1116,"Ação")</f>
        <v>25</v>
      </c>
      <c r="E6" s="20" t="n">
        <f aca="false">Parâmetros!C35</f>
        <v>6324.80102695764</v>
      </c>
      <c r="F6" s="21" t="n">
        <f aca="false">AVERAGEIF('Metas por Loja'!$B$2:$B$1116,A6,'Metas por Loja'!$G$2:$G$1116)</f>
        <v>0.0710377264716326</v>
      </c>
      <c r="G6" s="21" t="n">
        <f aca="false" t="array" ref="G6:G6">MAX(IF('Metas por Loja'!$B$2:$B$1116=A6,'Metas por Loja'!$G$2:$G$1116))</f>
        <v>0.2</v>
      </c>
      <c r="H6" s="21" t="n">
        <f aca="false">SUMPRODUCT(('Metas por Loja'!$B$2:$B$1116=A6)*'Metas por Loja'!$J$2:$J$1116*'Metas por Loja'!$G$2:$G$1116)/I6</f>
        <v>0.0565582743988208</v>
      </c>
      <c r="I6" s="20" t="n">
        <f aca="false">SUMIF('Metas por Loja'!$B$2:$B$1116,A6,'Metas por Loja'!$J$2:$J$1116)</f>
        <v>126319114.41671</v>
      </c>
    </row>
    <row r="7" customFormat="false" ht="15" hidden="false" customHeight="false" outlineLevel="0" collapsed="false">
      <c r="A7" s="19" t="n">
        <f aca="false">Parâmetros!A36</f>
        <v>3</v>
      </c>
      <c r="B7" s="19" t="str">
        <f aca="false">Parâmetros!B36</f>
        <v>Dependente de promoção</v>
      </c>
      <c r="C7" s="19" t="n">
        <f aca="false">COUNTIF('Metas por Loja'!$B$2:$B$1116,A7)</f>
        <v>165</v>
      </c>
      <c r="D7" s="19" t="n">
        <f aca="false">COUNTIFS('Metas por Loja'!$B$2:$B$1116,A7,'Metas por Loja'!$H$2:$H$1116,"Ação")</f>
        <v>64</v>
      </c>
      <c r="E7" s="20" t="n">
        <f aca="false">Parâmetros!C36</f>
        <v>5909.24487179487</v>
      </c>
      <c r="F7" s="21" t="n">
        <f aca="false">AVERAGEIF('Metas por Loja'!$B$2:$B$1116,A7,'Metas por Loja'!$G$2:$G$1116)</f>
        <v>0.0629306197695264</v>
      </c>
      <c r="G7" s="21" t="n">
        <f aca="false" t="array" ref="G7:G7">MAX(IF('Metas por Loja'!$B$2:$B$1116=A7,'Metas por Loja'!$G$2:$G$1116))</f>
        <v>0.2</v>
      </c>
      <c r="H7" s="21" t="n">
        <f aca="false">SUMPRODUCT(('Metas por Loja'!$B$2:$B$1116=A7)*'Metas por Loja'!$J$2:$J$1116*'Metas por Loja'!$G$2:$G$1116)/I7</f>
        <v>0.0504631498062914</v>
      </c>
      <c r="I7" s="20" t="n">
        <f aca="false">SUMIF('Metas por Loja'!$B$2:$B$1116,A7,'Metas por Loja'!$J$2:$J$1116)</f>
        <v>305659750.176114</v>
      </c>
    </row>
    <row r="8" customFormat="false" ht="15" hidden="false" customHeight="false" outlineLevel="0" collapsed="false">
      <c r="A8" s="19" t="n">
        <f aca="false">Parâmetros!A37</f>
        <v>4</v>
      </c>
      <c r="B8" s="19" t="str">
        <f aca="false">Parâmetros!B37</f>
        <v>Alto fluxo, cesta pequena</v>
      </c>
      <c r="C8" s="19" t="n">
        <f aca="false">COUNTIF('Metas por Loja'!$B$2:$B$1116,A8)</f>
        <v>179</v>
      </c>
      <c r="D8" s="19" t="n">
        <f aca="false">COUNTIFS('Metas por Loja'!$B$2:$B$1116,A8,'Metas por Loja'!$H$2:$H$1116,"Ação")</f>
        <v>70</v>
      </c>
      <c r="E8" s="20" t="n">
        <f aca="false">Parâmetros!C37</f>
        <v>8837.10512820513</v>
      </c>
      <c r="F8" s="21" t="n">
        <f aca="false">AVERAGEIF('Metas por Loja'!$B$2:$B$1116,A8,'Metas por Loja'!$G$2:$G$1116)</f>
        <v>0.0628404787467261</v>
      </c>
      <c r="G8" s="21" t="n">
        <f aca="false" t="array" ref="G8:G8">MAX(IF('Metas por Loja'!$B$2:$B$1116=A8,'Metas por Loja'!$G$2:$G$1116))</f>
        <v>0.2</v>
      </c>
      <c r="H8" s="21" t="n">
        <f aca="false">SUMPRODUCT(('Metas por Loja'!$B$2:$B$1116=A8)*'Metas por Loja'!$J$2:$J$1116*'Metas por Loja'!$G$2:$G$1116)/I8</f>
        <v>0.0505459534099114</v>
      </c>
      <c r="I8" s="20" t="n">
        <f aca="false">SUMIF('Metas por Loja'!$B$2:$B$1116,A8,'Metas por Loja'!$J$2:$J$1116)</f>
        <v>524134301.666289</v>
      </c>
    </row>
    <row r="9" customFormat="false" ht="15" hidden="false" customHeight="false" outlineLevel="0" collapsed="false">
      <c r="A9" s="22" t="s">
        <v>53</v>
      </c>
      <c r="B9" s="22" t="s">
        <v>54</v>
      </c>
      <c r="C9" s="22" t="n">
        <f aca="false">SUM(C4:C8)</f>
        <v>1115</v>
      </c>
      <c r="D9" s="22" t="n">
        <f aca="false">SUM(D4:D8)</f>
        <v>417</v>
      </c>
      <c r="E9" s="23" t="n">
        <f aca="false">MEDIAN('Metas por Loja'!D2:D1116)</f>
        <v>6589.94847020934</v>
      </c>
      <c r="F9" s="24" t="n">
        <f aca="false">AVERAGE('Metas por Loja'!G2:G1116)</f>
        <v>0.0605430408290104</v>
      </c>
      <c r="G9" s="24" t="n">
        <f aca="false">MAX('Metas por Loja'!G2:G1116)</f>
        <v>0.2</v>
      </c>
      <c r="H9" s="24" t="n">
        <f aca="false">Parâmetros!B25</f>
        <v>0.05</v>
      </c>
      <c r="I9" s="23" t="n">
        <f aca="false">SUM(I4:I8)</f>
        <v>2345669250.27186</v>
      </c>
    </row>
    <row r="12" customFormat="false" ht="15" hidden="false" customHeight="false" outlineLevel="0" collapsed="false">
      <c r="A12" s="6" t="s">
        <v>55</v>
      </c>
    </row>
    <row r="13" customFormat="false" ht="15" hidden="false" customHeight="false" outlineLevel="0" collapsed="false">
      <c r="A13" s="12" t="s">
        <v>56</v>
      </c>
      <c r="B13" s="12" t="s">
        <v>57</v>
      </c>
      <c r="C13" s="12" t="s">
        <v>58</v>
      </c>
      <c r="D13" s="12" t="s">
        <v>47</v>
      </c>
      <c r="E13" s="12" t="s">
        <v>59</v>
      </c>
    </row>
    <row r="14" customFormat="false" ht="15" hidden="false" customHeight="false" outlineLevel="0" collapsed="false">
      <c r="A14" s="3" t="s">
        <v>60</v>
      </c>
      <c r="B14" s="7" t="n">
        <v>0</v>
      </c>
      <c r="C14" s="7" t="n">
        <f aca="false">Parâmetros!B21+0.00001</f>
        <v>0.0244138339849274</v>
      </c>
      <c r="D14" s="3" t="n">
        <f aca="false">COUNTIFS('Metas por Loja'!$G$2:$G$1116,"&gt;"&amp;B14,'Metas por Loja'!$G$2:$G$1116,"&lt;="&amp;C14)</f>
        <v>559</v>
      </c>
      <c r="E14" s="7" t="n">
        <f aca="false">D14/COUNT('Metas por Loja'!$G$2:$G$1116)</f>
        <v>0.501345291479821</v>
      </c>
    </row>
    <row r="15" customFormat="false" ht="15" hidden="false" customHeight="false" outlineLevel="0" collapsed="false">
      <c r="A15" s="3" t="s">
        <v>61</v>
      </c>
      <c r="B15" s="7" t="n">
        <f aca="false">C14</f>
        <v>0.0244138339849274</v>
      </c>
      <c r="C15" s="7" t="n">
        <v>0.05</v>
      </c>
      <c r="D15" s="3" t="n">
        <f aca="false">COUNTIFS('Metas por Loja'!$G$2:$G$1116,"&gt;"&amp;B15,'Metas por Loja'!$G$2:$G$1116,"&lt;="&amp;C15)</f>
        <v>117</v>
      </c>
      <c r="E15" s="7" t="n">
        <f aca="false">D15/COUNT('Metas por Loja'!$G$2:$G$1116)</f>
        <v>0.104932735426009</v>
      </c>
    </row>
    <row r="16" customFormat="false" ht="15" hidden="false" customHeight="false" outlineLevel="0" collapsed="false">
      <c r="A16" s="3" t="s">
        <v>62</v>
      </c>
      <c r="B16" s="7" t="n">
        <v>0.05</v>
      </c>
      <c r="C16" s="7" t="n">
        <v>0.1</v>
      </c>
      <c r="D16" s="3" t="n">
        <f aca="false">COUNTIFS('Metas por Loja'!$G$2:$G$1116,"&gt;"&amp;B16,'Metas por Loja'!$G$2:$G$1116,"&lt;="&amp;C16)</f>
        <v>214</v>
      </c>
      <c r="E16" s="7" t="n">
        <f aca="false">D16/COUNT('Metas por Loja'!$G$2:$G$1116)</f>
        <v>0.191928251121076</v>
      </c>
    </row>
    <row r="17" customFormat="false" ht="15" hidden="false" customHeight="false" outlineLevel="0" collapsed="false">
      <c r="A17" s="3" t="s">
        <v>63</v>
      </c>
      <c r="B17" s="7" t="n">
        <v>0.1</v>
      </c>
      <c r="C17" s="7" t="n">
        <v>0.15</v>
      </c>
      <c r="D17" s="3" t="n">
        <f aca="false">COUNTIFS('Metas por Loja'!$G$2:$G$1116,"&gt;"&amp;B17,'Metas por Loja'!$G$2:$G$1116,"&lt;="&amp;C17)</f>
        <v>121</v>
      </c>
      <c r="E17" s="7" t="n">
        <f aca="false">D17/COUNT('Metas por Loja'!$G$2:$G$1116)</f>
        <v>0.108520179372197</v>
      </c>
    </row>
    <row r="18" customFormat="false" ht="15" hidden="false" customHeight="false" outlineLevel="0" collapsed="false">
      <c r="A18" s="3" t="s">
        <v>64</v>
      </c>
      <c r="B18" s="7" t="n">
        <v>0.15</v>
      </c>
      <c r="C18" s="7" t="n">
        <f aca="false">Parâmetros!B8-0.00001</f>
        <v>0.19999</v>
      </c>
      <c r="D18" s="3" t="n">
        <f aca="false">COUNTIFS('Metas por Loja'!$G$2:$G$1116,"&gt;"&amp;B18,'Metas por Loja'!$G$2:$G$1116,"&lt;="&amp;C18)</f>
        <v>57</v>
      </c>
      <c r="E18" s="7" t="n">
        <f aca="false">D18/COUNT('Metas por Loja'!$G$2:$G$1116)</f>
        <v>0.0511210762331839</v>
      </c>
    </row>
    <row r="19" customFormat="false" ht="15" hidden="false" customHeight="false" outlineLevel="0" collapsed="false">
      <c r="A19" s="3" t="s">
        <v>65</v>
      </c>
      <c r="B19" s="7" t="n">
        <f aca="false">C18</f>
        <v>0.19999</v>
      </c>
      <c r="C19" s="7" t="n">
        <v>1</v>
      </c>
      <c r="D19" s="3" t="n">
        <f aca="false">COUNTIFS('Metas por Loja'!$G$2:$G$1116,"&gt;"&amp;B19,'Metas por Loja'!$G$2:$G$1116,"&lt;="&amp;C19)</f>
        <v>47</v>
      </c>
      <c r="E19" s="7" t="n">
        <f aca="false">D19/COUNT('Metas por Loja'!$G$2:$G$1116)</f>
        <v>0.042152466367713</v>
      </c>
    </row>
    <row r="20" customFormat="false" ht="15" hidden="false" customHeight="false" outlineLevel="0" collapsed="false">
      <c r="A20" s="6" t="s">
        <v>66</v>
      </c>
      <c r="D20" s="6" t="n">
        <f aca="false">SUM(D14:D19)</f>
        <v>1115</v>
      </c>
      <c r="E20" s="25" t="n">
        <f aca="false">SUM(E14:E19)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68</v>
      </c>
    </row>
    <row r="4" customFormat="false" ht="15" hidden="false" customHeight="false" outlineLevel="0" collapsed="false">
      <c r="A4" s="3" t="s">
        <v>69</v>
      </c>
    </row>
    <row r="5" customFormat="false" ht="15" hidden="false" customHeight="false" outlineLevel="0" collapsed="false">
      <c r="A5" s="3" t="s">
        <v>70</v>
      </c>
    </row>
    <row r="6" customFormat="false" ht="15" hidden="false" customHeight="false" outlineLevel="0" collapsed="false">
      <c r="A6" s="3" t="s">
        <v>71</v>
      </c>
    </row>
    <row r="7" customFormat="false" ht="15" hidden="false" customHeight="false" outlineLevel="0" collapsed="false">
      <c r="A7" s="3" t="s">
        <v>72</v>
      </c>
    </row>
    <row r="8" customFormat="false" ht="15" hidden="false" customHeight="false" outlineLevel="0" collapsed="false">
      <c r="A8" s="3" t="s">
        <v>73</v>
      </c>
    </row>
    <row r="9" customFormat="false" ht="15" hidden="false" customHeight="false" outlineLevel="0" collapsed="false">
      <c r="A9" s="3" t="s">
        <v>74</v>
      </c>
    </row>
    <row r="10" customFormat="false" ht="15" hidden="false" customHeight="false" outlineLevel="0" collapsed="false">
      <c r="A10" s="3" t="s">
        <v>75</v>
      </c>
    </row>
    <row r="11" customFormat="false" ht="15" hidden="false" customHeight="false" outlineLevel="0" collapsed="false">
      <c r="A11" s="3" t="s">
        <v>76</v>
      </c>
    </row>
    <row r="12" customFormat="false" ht="15" hidden="false" customHeight="false" outlineLevel="0" collapsed="false">
      <c r="A12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2026-10-14T00:36:12Z</dcterms:created>
  <dc:creator>openpyxl</dc:creator>
  <dc:description/>
  <dc:language>en-US</dc:language>
  <cp:lastModifiedBy/>
  <dcterms:modified xsi:type="dcterms:W3CDTF">2026-10-14T00:36:12Z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